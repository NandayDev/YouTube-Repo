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za minusvalenze" sheetId="1" state="visible" r:id="rId3"/>
    <sheet name="Con minusvalenz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<sst xmlns="http://schemas.openxmlformats.org/spreadsheetml/2006/main" count="33" uniqueCount="18">
  <si>
    <t xml:space="preserve">Nome</t>
  </si>
  <si>
    <t xml:space="preserve">ISIN</t>
  </si>
  <si>
    <t xml:space="preserve">Cedola</t>
  </si>
  <si>
    <t xml:space="preserve">Scadenza</t>
  </si>
  <si>
    <t xml:space="preserve">P. acquisto</t>
  </si>
  <si>
    <t xml:space="preserve">Tassazione</t>
  </si>
  <si>
    <t xml:space="preserve">Quantità</t>
  </si>
  <si>
    <t xml:space="preserve">Commiss.</t>
  </si>
  <si>
    <t xml:space="preserve">Ctv.+comm.</t>
  </si>
  <si>
    <t xml:space="preserve">P. m. carico</t>
  </si>
  <si>
    <t xml:space="preserve">Plusv. lorda</t>
  </si>
  <si>
    <t xml:space="preserve">Plusv. netta</t>
  </si>
  <si>
    <t xml:space="preserve">Cedola netta</t>
  </si>
  <si>
    <t xml:space="preserve">Netto</t>
  </si>
  <si>
    <t xml:space="preserve">BELGIO 22/06/2027 0,8% </t>
  </si>
  <si>
    <t xml:space="preserve">BE0000341504</t>
  </si>
  <si>
    <t xml:space="preserve">% minus</t>
  </si>
  <si>
    <t xml:space="preserve">Minus rec.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</si>
</sst>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dd/mm/yyyy"/>
    <numFmt numFmtId="167" formatCode="[$€-410]\ #,##0.00;[RED]\-[$€-410]\ #,##0.00"/>
    <numFmt numFmtId="168" formatCode="[$€-410]\ #,##0.00000;[RED]\-[$€-410]\ #,##0.0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13"/>
    <col collapsed="false" customWidth="true" hidden="false" outlineLevel="0" max="2" min="2" style="1" width="13.75"/>
  </cols>
  <sheetData>
    <row r="1" customFormat="false" ht="1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</row>
    <row r="2" customFormat="false" ht="19.85" hidden="false" customHeight="true" outlineLevel="0" collapsed="false">
      <c r="A2" s="4" t="s">
        <v>14</v>
      </c>
      <c r="B2" s="4" t="s">
        <v>15</v>
      </c>
      <c r="C2" s="5" t="n">
        <v>0.008</v>
      </c>
      <c r="D2" s="6" t="n">
        <v>46560</v>
      </c>
      <c r="E2" s="4" t="n">
        <v>98.19</v>
      </c>
      <c r="F2" s="5" t="n">
        <v>0.125</v>
      </c>
      <c r="G2" s="7" t="n">
        <v>25000</v>
      </c>
      <c r="H2" s="8" t="n">
        <v>8</v>
      </c>
      <c r="I2" s="9" t="n">
        <f aca="false">(G2/100)*E2+H2</f>
        <v>24555.5</v>
      </c>
      <c r="J2" s="10" t="n">
        <f aca="false">I2/G2*100</f>
        <v>98.222</v>
      </c>
      <c r="K2" s="9" t="n">
        <f aca="false">(100-J2)*(G2/100)</f>
        <v>444.500000000002</v>
      </c>
      <c r="L2" s="9" t="n">
        <f aca="false">K2*(1-F2)</f>
        <v>388.937500000001</v>
      </c>
      <c r="M2" s="9" t="n">
        <f aca="false">G2*C2*(1-F2)</f>
        <v>175</v>
      </c>
      <c r="N2" s="11" t="n">
        <f aca="false">L2+M2</f>
        <v>563.937500000001</v>
      </c>
      <c r="O2" s="3"/>
      <c r="P2" s="3"/>
    </row>
    <row r="3" customFormat="false" ht="19.85" hidden="false" customHeight="true" outlineLevel="0" collapsed="false">
      <c r="A3" s="4"/>
      <c r="B3" s="4"/>
      <c r="C3" s="5"/>
      <c r="D3" s="6"/>
      <c r="E3" s="4"/>
      <c r="F3" s="5"/>
      <c r="G3" s="7"/>
      <c r="H3" s="8"/>
      <c r="I3" s="9" t="n">
        <f aca="false">(G3/100)*E3+H3</f>
        <v>0</v>
      </c>
      <c r="J3" s="10" t="e">
        <f aca="false">I3/G3*100</f>
        <v>#DIV/0!</v>
      </c>
      <c r="K3" s="9" t="e">
        <f aca="false">(100-J3)*(G3/100)</f>
        <v>#DIV/0!</v>
      </c>
      <c r="L3" s="9" t="e">
        <f aca="false">K3*(1-F3)</f>
        <v>#DIV/0!</v>
      </c>
      <c r="M3" s="9" t="n">
        <f aca="false">G3*C3*(1-F3)</f>
        <v>0</v>
      </c>
      <c r="N3" s="11" t="e">
        <f aca="false">L3+M3</f>
        <v>#DIV/0!</v>
      </c>
      <c r="O3" s="3"/>
      <c r="P3" s="12"/>
    </row>
    <row r="4" customFormat="false" ht="19.85" hidden="false" customHeight="true" outlineLevel="0" collapsed="false">
      <c r="A4" s="4"/>
      <c r="B4" s="4"/>
      <c r="C4" s="5"/>
      <c r="D4" s="6"/>
      <c r="E4" s="4"/>
      <c r="F4" s="5"/>
      <c r="G4" s="7"/>
      <c r="H4" s="8"/>
      <c r="I4" s="9" t="n">
        <f aca="false">(G4/100)*E4+H4</f>
        <v>0</v>
      </c>
      <c r="J4" s="10" t="e">
        <f aca="false">I4/G4*100</f>
        <v>#DIV/0!</v>
      </c>
      <c r="K4" s="9" t="e">
        <f aca="false">(100-J4)*(G4/100)</f>
        <v>#DIV/0!</v>
      </c>
      <c r="L4" s="9" t="e">
        <f aca="false">K4*(1-F4)</f>
        <v>#DIV/0!</v>
      </c>
      <c r="M4" s="9" t="n">
        <f aca="false">G4*C4*(1-F4)</f>
        <v>0</v>
      </c>
      <c r="N4" s="11" t="e">
        <f aca="false">L4+M4</f>
        <v>#DIV/0!</v>
      </c>
      <c r="O4" s="3"/>
      <c r="P4" s="3"/>
    </row>
    <row r="5" customFormat="false" ht="19.85" hidden="false" customHeight="true" outlineLevel="0" collapsed="false">
      <c r="A5" s="4"/>
      <c r="B5" s="4"/>
      <c r="C5" s="5"/>
      <c r="D5" s="6"/>
      <c r="E5" s="4"/>
      <c r="F5" s="5"/>
      <c r="G5" s="7"/>
      <c r="H5" s="8"/>
      <c r="I5" s="9" t="n">
        <f aca="false">(G5/100)*E5+H5</f>
        <v>0</v>
      </c>
      <c r="J5" s="10" t="e">
        <f aca="false">I5/G5*100</f>
        <v>#DIV/0!</v>
      </c>
      <c r="K5" s="9" t="e">
        <f aca="false">(100-J5)*(G5/100)</f>
        <v>#DIV/0!</v>
      </c>
      <c r="L5" s="9" t="e">
        <f aca="false">K5*(1-F5)</f>
        <v>#DIV/0!</v>
      </c>
      <c r="M5" s="9" t="n">
        <f aca="false">G5*C5*(1-F5)</f>
        <v>0</v>
      </c>
      <c r="N5" s="11" t="e">
        <f aca="false">L5+M5</f>
        <v>#DIV/0!</v>
      </c>
      <c r="O5" s="3"/>
      <c r="P5" s="3"/>
    </row>
    <row r="6" customFormat="false" ht="19.85" hidden="false" customHeight="true" outlineLevel="0" collapsed="false">
      <c r="A6" s="4"/>
      <c r="B6" s="4"/>
      <c r="C6" s="5"/>
      <c r="D6" s="6"/>
      <c r="E6" s="4"/>
      <c r="F6" s="5"/>
      <c r="G6" s="7"/>
      <c r="H6" s="8"/>
      <c r="I6" s="9" t="n">
        <f aca="false">(G6/100)*E6+H6</f>
        <v>0</v>
      </c>
      <c r="J6" s="10" t="e">
        <f aca="false">I6/G6*100</f>
        <v>#DIV/0!</v>
      </c>
      <c r="K6" s="9" t="e">
        <f aca="false">(100-J6)*(G6/100)</f>
        <v>#DIV/0!</v>
      </c>
      <c r="L6" s="9" t="e">
        <f aca="false">K6*(1-F6)</f>
        <v>#DIV/0!</v>
      </c>
      <c r="M6" s="9" t="n">
        <f aca="false">G6*C6*(1-F6)</f>
        <v>0</v>
      </c>
      <c r="N6" s="11" t="e">
        <f aca="false">L6+M6</f>
        <v>#DIV/0!</v>
      </c>
      <c r="O6" s="3"/>
      <c r="P6" s="3"/>
    </row>
    <row r="7" customFormat="false" ht="19.85" hidden="false" customHeight="true" outlineLevel="0" collapsed="false">
      <c r="A7" s="4"/>
      <c r="B7" s="4"/>
      <c r="C7" s="5"/>
      <c r="D7" s="6"/>
      <c r="E7" s="4"/>
      <c r="F7" s="5"/>
      <c r="G7" s="7"/>
      <c r="H7" s="8"/>
      <c r="I7" s="9" t="n">
        <f aca="false">(G7/100)*E7+H7</f>
        <v>0</v>
      </c>
      <c r="J7" s="10" t="e">
        <f aca="false">I7/G7*100</f>
        <v>#DIV/0!</v>
      </c>
      <c r="K7" s="9" t="e">
        <f aca="false">(100-J7)*(G7/100)</f>
        <v>#DIV/0!</v>
      </c>
      <c r="L7" s="9" t="e">
        <f aca="false">K7*(1-F7)</f>
        <v>#DIV/0!</v>
      </c>
      <c r="M7" s="9" t="n">
        <f aca="false">G7*C7*(1-F7)</f>
        <v>0</v>
      </c>
      <c r="N7" s="11" t="e">
        <f aca="false">L7+M7</f>
        <v>#DIV/0!</v>
      </c>
      <c r="O7" s="3"/>
      <c r="P7" s="3"/>
    </row>
    <row r="8" customFormat="false" ht="19.85" hidden="false" customHeight="true" outlineLevel="0" collapsed="false">
      <c r="A8" s="4"/>
      <c r="B8" s="4"/>
      <c r="C8" s="5"/>
      <c r="D8" s="6"/>
      <c r="E8" s="4"/>
      <c r="F8" s="5"/>
      <c r="G8" s="7"/>
      <c r="H8" s="8"/>
      <c r="I8" s="9" t="n">
        <f aca="false">(G8/100)*E8+H8</f>
        <v>0</v>
      </c>
      <c r="J8" s="10" t="e">
        <f aca="false">I8/G8*100</f>
        <v>#DIV/0!</v>
      </c>
      <c r="K8" s="9" t="e">
        <f aca="false">(100-J8)*(G8/100)</f>
        <v>#DIV/0!</v>
      </c>
      <c r="L8" s="9" t="e">
        <f aca="false">K8*(1-F8)</f>
        <v>#DIV/0!</v>
      </c>
      <c r="M8" s="9" t="n">
        <f aca="false">G8*C8*(1-F8)</f>
        <v>0</v>
      </c>
      <c r="N8" s="11" t="e">
        <f aca="false">L8+M8</f>
        <v>#DIV/0!</v>
      </c>
      <c r="O8" s="3"/>
      <c r="P8" s="3"/>
    </row>
    <row r="9" customFormat="false" ht="19.85" hidden="false" customHeight="true" outlineLevel="0" collapsed="false">
      <c r="A9" s="4"/>
      <c r="B9" s="4"/>
      <c r="C9" s="5"/>
      <c r="D9" s="6"/>
      <c r="E9" s="4"/>
      <c r="F9" s="5"/>
      <c r="G9" s="7"/>
      <c r="H9" s="8"/>
      <c r="I9" s="9" t="n">
        <f aca="false">(G9/100)*E9+H9</f>
        <v>0</v>
      </c>
      <c r="J9" s="10" t="e">
        <f aca="false">I9/G9*100</f>
        <v>#DIV/0!</v>
      </c>
      <c r="K9" s="9" t="e">
        <f aca="false">(100-J9)*(G9/100)</f>
        <v>#DIV/0!</v>
      </c>
      <c r="L9" s="9" t="e">
        <f aca="false">K9*(1-F9)</f>
        <v>#DIV/0!</v>
      </c>
      <c r="M9" s="9" t="n">
        <f aca="false">G9*C9*(1-F9)</f>
        <v>0</v>
      </c>
      <c r="N9" s="11" t="e">
        <f aca="false">L9+M9</f>
        <v>#DIV/0!</v>
      </c>
      <c r="O9" s="3"/>
      <c r="P9" s="3"/>
    </row>
    <row r="10" customFormat="false" ht="19.85" hidden="false" customHeight="true" outlineLevel="0" collapsed="false">
      <c r="A10" s="4"/>
      <c r="B10" s="4"/>
      <c r="C10" s="5"/>
      <c r="D10" s="6"/>
      <c r="E10" s="4"/>
      <c r="F10" s="5"/>
      <c r="G10" s="7"/>
      <c r="H10" s="8"/>
      <c r="I10" s="9" t="n">
        <f aca="false">(G10/100)*E10+H10</f>
        <v>0</v>
      </c>
      <c r="J10" s="10" t="e">
        <f aca="false">I10/G10*100</f>
        <v>#DIV/0!</v>
      </c>
      <c r="K10" s="9" t="e">
        <f aca="false">(100-J10)*(G10/100)</f>
        <v>#DIV/0!</v>
      </c>
      <c r="L10" s="9" t="e">
        <f aca="false">K10*(1-F10)</f>
        <v>#DIV/0!</v>
      </c>
      <c r="M10" s="9" t="n">
        <f aca="false">G10*C10*(1-F10)</f>
        <v>0</v>
      </c>
      <c r="N10" s="11" t="e">
        <f aca="false">L10+M10</f>
        <v>#DIV/0!</v>
      </c>
      <c r="O10" s="3"/>
      <c r="P10" s="3"/>
    </row>
    <row r="11" customFormat="false" ht="19.85" hidden="false" customHeight="true" outlineLevel="0" collapsed="false">
      <c r="A11" s="4"/>
      <c r="B11" s="4"/>
      <c r="C11" s="5"/>
      <c r="D11" s="6"/>
      <c r="E11" s="4"/>
      <c r="F11" s="5"/>
      <c r="G11" s="7"/>
      <c r="H11" s="8"/>
      <c r="I11" s="9" t="n">
        <f aca="false">(G11/100)*E11+H11</f>
        <v>0</v>
      </c>
      <c r="J11" s="10" t="e">
        <f aca="false">I11/G11*100</f>
        <v>#DIV/0!</v>
      </c>
      <c r="K11" s="9" t="e">
        <f aca="false">(100-J11)*(G11/100)</f>
        <v>#DIV/0!</v>
      </c>
      <c r="L11" s="9" t="e">
        <f aca="false">K11*(1-F11)</f>
        <v>#DIV/0!</v>
      </c>
      <c r="M11" s="9" t="n">
        <f aca="false">G11*C11*(1-F11)</f>
        <v>0</v>
      </c>
      <c r="N11" s="11" t="e">
        <f aca="false">L11+M11</f>
        <v>#DIV/0!</v>
      </c>
      <c r="O11" s="3"/>
      <c r="P11" s="3"/>
    </row>
    <row r="12" customFormat="false" ht="19.85" hidden="false" customHeight="true" outlineLevel="0" collapsed="false">
      <c r="A12" s="4"/>
      <c r="B12" s="4"/>
      <c r="C12" s="5"/>
      <c r="D12" s="6"/>
      <c r="E12" s="4"/>
      <c r="F12" s="5"/>
      <c r="G12" s="7"/>
      <c r="H12" s="8"/>
      <c r="I12" s="9" t="n">
        <f aca="false">(G12/100)*E12+H12</f>
        <v>0</v>
      </c>
      <c r="J12" s="10" t="e">
        <f aca="false">I12/G12*100</f>
        <v>#DIV/0!</v>
      </c>
      <c r="K12" s="9" t="e">
        <f aca="false">(100-J12)*(G12/100)</f>
        <v>#DIV/0!</v>
      </c>
      <c r="L12" s="9" t="e">
        <f aca="false">K12*(1-F12)</f>
        <v>#DIV/0!</v>
      </c>
      <c r="M12" s="9" t="n">
        <f aca="false">G12*C12*(1-F12)</f>
        <v>0</v>
      </c>
      <c r="N12" s="11" t="e">
        <f aca="false">L12+M12</f>
        <v>#DIV/0!</v>
      </c>
      <c r="O12" s="3"/>
      <c r="P12" s="3"/>
    </row>
    <row r="13" customFormat="false" ht="19.85" hidden="false" customHeight="true" outlineLevel="0" collapsed="false">
      <c r="A13" s="4"/>
      <c r="B13" s="4"/>
      <c r="C13" s="5"/>
      <c r="D13" s="6"/>
      <c r="E13" s="4"/>
      <c r="F13" s="5"/>
      <c r="G13" s="7"/>
      <c r="H13" s="8"/>
      <c r="I13" s="9" t="n">
        <f aca="false">(G13/100)*E13+H13</f>
        <v>0</v>
      </c>
      <c r="J13" s="10" t="e">
        <f aca="false">I13/G13*100</f>
        <v>#DIV/0!</v>
      </c>
      <c r="K13" s="9" t="e">
        <f aca="false">(100-J13)*(G13/100)</f>
        <v>#DIV/0!</v>
      </c>
      <c r="L13" s="9" t="e">
        <f aca="false">K13*(1-F13)</f>
        <v>#DIV/0!</v>
      </c>
      <c r="M13" s="9" t="n">
        <f aca="false">G13*C13*(1-F13)</f>
        <v>0</v>
      </c>
      <c r="N13" s="11" t="e">
        <f aca="false">L13+M13</f>
        <v>#DIV/0!</v>
      </c>
      <c r="O13" s="3"/>
      <c r="P13" s="3"/>
    </row>
    <row r="14" customFormat="false" ht="19.85" hidden="false" customHeight="true" outlineLevel="0" collapsed="false">
      <c r="A14" s="4"/>
      <c r="B14" s="4"/>
      <c r="C14" s="5"/>
      <c r="D14" s="6"/>
      <c r="E14" s="4"/>
      <c r="F14" s="5"/>
      <c r="G14" s="7"/>
      <c r="H14" s="8"/>
      <c r="I14" s="9" t="n">
        <f aca="false">(G14/100)*E14+H14</f>
        <v>0</v>
      </c>
      <c r="J14" s="10" t="e">
        <f aca="false">I14/G14*100</f>
        <v>#DIV/0!</v>
      </c>
      <c r="K14" s="9" t="e">
        <f aca="false">(100-J14)*(G14/100)</f>
        <v>#DIV/0!</v>
      </c>
      <c r="L14" s="9" t="e">
        <f aca="false">K14*(1-F14)</f>
        <v>#DIV/0!</v>
      </c>
      <c r="M14" s="9" t="n">
        <f aca="false">G14*C14*(1-F14)</f>
        <v>0</v>
      </c>
      <c r="N14" s="11" t="e">
        <f aca="false">L14+M14</f>
        <v>#DIV/0!</v>
      </c>
      <c r="O14" s="3"/>
      <c r="P14" s="3"/>
    </row>
    <row r="15" customFormat="false" ht="19.85" hidden="false" customHeight="true" outlineLevel="0" collapsed="false">
      <c r="A15" s="4"/>
      <c r="B15" s="4"/>
      <c r="C15" s="5"/>
      <c r="D15" s="6"/>
      <c r="E15" s="4"/>
      <c r="F15" s="5"/>
      <c r="G15" s="7"/>
      <c r="H15" s="8"/>
      <c r="I15" s="9" t="n">
        <f aca="false">(G15/100)*E15+H15</f>
        <v>0</v>
      </c>
      <c r="J15" s="10" t="e">
        <f aca="false">I15/G15*100</f>
        <v>#DIV/0!</v>
      </c>
      <c r="K15" s="9" t="e">
        <f aca="false">(100-J15)*(G15/100)</f>
        <v>#DIV/0!</v>
      </c>
      <c r="L15" s="9" t="e">
        <f aca="false">K15*(1-F15)</f>
        <v>#DIV/0!</v>
      </c>
      <c r="M15" s="9" t="n">
        <f aca="false">G15*C15*(1-F15)</f>
        <v>0</v>
      </c>
      <c r="N15" s="11" t="e">
        <f aca="false">L15+M15</f>
        <v>#DIV/0!</v>
      </c>
      <c r="O15" s="3"/>
      <c r="P15" s="3"/>
    </row>
    <row r="16" customFormat="false" ht="19.85" hidden="false" customHeight="true" outlineLevel="0" collapsed="false">
      <c r="A16" s="4"/>
      <c r="B16" s="4"/>
      <c r="C16" s="5"/>
      <c r="D16" s="6"/>
      <c r="E16" s="4"/>
      <c r="F16" s="5"/>
      <c r="G16" s="7"/>
      <c r="H16" s="8"/>
      <c r="I16" s="9" t="n">
        <f aca="false">(G16/100)*E16+H16</f>
        <v>0</v>
      </c>
      <c r="J16" s="10" t="e">
        <f aca="false">I16/G16*100</f>
        <v>#DIV/0!</v>
      </c>
      <c r="K16" s="9" t="e">
        <f aca="false">(100-J16)*(G16/100)</f>
        <v>#DIV/0!</v>
      </c>
      <c r="L16" s="9" t="e">
        <f aca="false">K16*(1-F16)</f>
        <v>#DIV/0!</v>
      </c>
      <c r="M16" s="9" t="n">
        <f aca="false">G16*C16*(1-F16)</f>
        <v>0</v>
      </c>
      <c r="N16" s="11" t="e">
        <f aca="false">L16+M16</f>
        <v>#DIV/0!</v>
      </c>
      <c r="O16" s="3"/>
      <c r="P16" s="3"/>
    </row>
    <row r="17" customFormat="false" ht="19.85" hidden="false" customHeight="true" outlineLevel="0" collapsed="false">
      <c r="A17" s="4"/>
      <c r="B17" s="4"/>
      <c r="C17" s="5"/>
      <c r="D17" s="6"/>
      <c r="E17" s="4"/>
      <c r="F17" s="5"/>
      <c r="G17" s="7"/>
      <c r="H17" s="8"/>
      <c r="I17" s="9" t="n">
        <f aca="false">(G17/100)*E17+H17</f>
        <v>0</v>
      </c>
      <c r="J17" s="10" t="e">
        <f aca="false">I17/G17*100</f>
        <v>#DIV/0!</v>
      </c>
      <c r="K17" s="9" t="e">
        <f aca="false">(100-J17)*(G17/100)</f>
        <v>#DIV/0!</v>
      </c>
      <c r="L17" s="9" t="e">
        <f aca="false">K17*(1-F17)</f>
        <v>#DIV/0!</v>
      </c>
      <c r="M17" s="9" t="n">
        <f aca="false">G17*C17*(1-F17)</f>
        <v>0</v>
      </c>
      <c r="N17" s="11" t="e">
        <f aca="false">L17+M17</f>
        <v>#DIV/0!</v>
      </c>
      <c r="O17" s="3"/>
      <c r="P17" s="3"/>
    </row>
    <row r="18" customFormat="false" ht="19.85" hidden="false" customHeight="true" outlineLevel="0" collapsed="false">
      <c r="A18" s="4"/>
      <c r="B18" s="4"/>
      <c r="C18" s="5"/>
      <c r="D18" s="6"/>
      <c r="E18" s="4"/>
      <c r="F18" s="5"/>
      <c r="G18" s="7"/>
      <c r="H18" s="8"/>
      <c r="I18" s="9" t="n">
        <f aca="false">(G18/100)*E18+H18</f>
        <v>0</v>
      </c>
      <c r="J18" s="10" t="e">
        <f aca="false">I18/G18*100</f>
        <v>#DIV/0!</v>
      </c>
      <c r="K18" s="9" t="e">
        <f aca="false">(100-J18)*(G18/100)</f>
        <v>#DIV/0!</v>
      </c>
      <c r="L18" s="9" t="e">
        <f aca="false">K18*(1-F18)</f>
        <v>#DIV/0!</v>
      </c>
      <c r="M18" s="9" t="n">
        <f aca="false">G18*C18*(1-F18)</f>
        <v>0</v>
      </c>
      <c r="N18" s="11" t="e">
        <f aca="false">L18+M18</f>
        <v>#DIV/0!</v>
      </c>
      <c r="O18" s="3"/>
      <c r="P18" s="3"/>
    </row>
    <row r="19" customFormat="false" ht="19.85" hidden="false" customHeight="true" outlineLevel="0" collapsed="false">
      <c r="A19" s="4"/>
      <c r="B19" s="4"/>
      <c r="C19" s="5"/>
      <c r="D19" s="6"/>
      <c r="E19" s="4"/>
      <c r="F19" s="5"/>
      <c r="G19" s="7"/>
      <c r="H19" s="8"/>
      <c r="I19" s="9" t="n">
        <f aca="false">(G19/100)*E19+H19</f>
        <v>0</v>
      </c>
      <c r="J19" s="10" t="e">
        <f aca="false">I19/G19*100</f>
        <v>#DIV/0!</v>
      </c>
      <c r="K19" s="9" t="e">
        <f aca="false">(100-J19)*(G19/100)</f>
        <v>#DIV/0!</v>
      </c>
      <c r="L19" s="9" t="e">
        <f aca="false">K19*(1-F19)</f>
        <v>#DIV/0!</v>
      </c>
      <c r="M19" s="9" t="n">
        <f aca="false">G19*C19*(1-F19)</f>
        <v>0</v>
      </c>
      <c r="N19" s="11" t="e">
        <f aca="false">L19+M19</f>
        <v>#DIV/0!</v>
      </c>
      <c r="O19" s="3"/>
      <c r="P19" s="3"/>
    </row>
    <row r="20" customFormat="false" ht="19.85" hidden="false" customHeight="true" outlineLevel="0" collapsed="false">
      <c r="A20" s="4"/>
      <c r="B20" s="4"/>
      <c r="C20" s="5"/>
      <c r="D20" s="6"/>
      <c r="E20" s="4"/>
      <c r="F20" s="5"/>
      <c r="G20" s="7"/>
      <c r="H20" s="8"/>
      <c r="I20" s="9" t="n">
        <f aca="false">(G20/100)*E20+H20</f>
        <v>0</v>
      </c>
      <c r="J20" s="10" t="e">
        <f aca="false">I20/G20*100</f>
        <v>#DIV/0!</v>
      </c>
      <c r="K20" s="9" t="e">
        <f aca="false">(100-J20)*(G20/100)</f>
        <v>#DIV/0!</v>
      </c>
      <c r="L20" s="9" t="e">
        <f aca="false">K20*(1-F20)</f>
        <v>#DIV/0!</v>
      </c>
      <c r="M20" s="9" t="n">
        <f aca="false">G20*C20*(1-F20)</f>
        <v>0</v>
      </c>
      <c r="N20" s="11" t="e">
        <f aca="false">L20+M20</f>
        <v>#DIV/0!</v>
      </c>
      <c r="O20" s="3"/>
      <c r="P20" s="3"/>
    </row>
    <row r="21" customFormat="false" ht="19.85" hidden="false" customHeight="true" outlineLevel="0" collapsed="false">
      <c r="A21" s="4"/>
      <c r="B21" s="4"/>
      <c r="C21" s="5"/>
      <c r="D21" s="6"/>
      <c r="E21" s="4"/>
      <c r="F21" s="5"/>
      <c r="G21" s="7"/>
      <c r="H21" s="8"/>
      <c r="I21" s="9" t="n">
        <f aca="false">(G21/100)*E21+H21</f>
        <v>0</v>
      </c>
      <c r="J21" s="10" t="e">
        <f aca="false">I21/G21*100</f>
        <v>#DIV/0!</v>
      </c>
      <c r="K21" s="9" t="e">
        <f aca="false">(100-J21)*(G21/100)</f>
        <v>#DIV/0!</v>
      </c>
      <c r="L21" s="9" t="e">
        <f aca="false">K21*(1-F21)</f>
        <v>#DIV/0!</v>
      </c>
      <c r="M21" s="9" t="n">
        <f aca="false">G21*C21*(1-F21)</f>
        <v>0</v>
      </c>
      <c r="N21" s="11" t="e">
        <f aca="false">L21+M21</f>
        <v>#DIV/0!</v>
      </c>
      <c r="O21" s="3"/>
      <c r="P21" s="3"/>
    </row>
    <row r="22" customFormat="false" ht="19.85" hidden="false" customHeight="true" outlineLevel="0" collapsed="false">
      <c r="A22" s="4"/>
      <c r="B22" s="4"/>
      <c r="C22" s="5"/>
      <c r="D22" s="6"/>
      <c r="E22" s="4"/>
      <c r="F22" s="5"/>
      <c r="G22" s="7"/>
      <c r="H22" s="8"/>
      <c r="I22" s="9" t="n">
        <f aca="false">(G22/100)*E22+H22</f>
        <v>0</v>
      </c>
      <c r="J22" s="10" t="e">
        <f aca="false">I22/G22*100</f>
        <v>#DIV/0!</v>
      </c>
      <c r="K22" s="9" t="e">
        <f aca="false">(100-J22)*(G22/100)</f>
        <v>#DIV/0!</v>
      </c>
      <c r="L22" s="9" t="e">
        <f aca="false">K22*(1-F22)</f>
        <v>#DIV/0!</v>
      </c>
      <c r="M22" s="9" t="n">
        <f aca="false">G22*C22*(1-F22)</f>
        <v>0</v>
      </c>
      <c r="N22" s="11" t="e">
        <f aca="false">L22+M22</f>
        <v>#DIV/0!</v>
      </c>
      <c r="O22" s="3"/>
      <c r="P22" s="3"/>
    </row>
    <row r="23" customFormat="false" ht="19.85" hidden="false" customHeight="true" outlineLevel="0" collapsed="false">
      <c r="A23" s="4"/>
      <c r="B23" s="4"/>
      <c r="C23" s="5"/>
      <c r="D23" s="6"/>
      <c r="E23" s="4"/>
      <c r="F23" s="5"/>
      <c r="G23" s="7"/>
      <c r="H23" s="8"/>
      <c r="I23" s="9" t="n">
        <f aca="false">(G23/100)*E23+H23</f>
        <v>0</v>
      </c>
      <c r="J23" s="10" t="e">
        <f aca="false">I23/G23*100</f>
        <v>#DIV/0!</v>
      </c>
      <c r="K23" s="9" t="e">
        <f aca="false">(100-J23)*(G23/100)</f>
        <v>#DIV/0!</v>
      </c>
      <c r="L23" s="9" t="e">
        <f aca="false">K23*(1-F23)</f>
        <v>#DIV/0!</v>
      </c>
      <c r="M23" s="9" t="n">
        <f aca="false">G23*C23*(1-F23)</f>
        <v>0</v>
      </c>
      <c r="N23" s="11" t="e">
        <f aca="false">L23+M23</f>
        <v>#DIV/0!</v>
      </c>
      <c r="O23" s="3"/>
      <c r="P23" s="3"/>
    </row>
    <row r="24" customFormat="false" ht="19.85" hidden="false" customHeight="true" outlineLevel="0" collapsed="false">
      <c r="A24" s="4"/>
      <c r="B24" s="4"/>
      <c r="C24" s="5"/>
      <c r="D24" s="6"/>
      <c r="E24" s="4"/>
      <c r="F24" s="5"/>
      <c r="G24" s="7"/>
      <c r="H24" s="8"/>
      <c r="I24" s="9" t="n">
        <f aca="false">(G24/100)*E24+H24</f>
        <v>0</v>
      </c>
      <c r="J24" s="10" t="e">
        <f aca="false">I24/G24*100</f>
        <v>#DIV/0!</v>
      </c>
      <c r="K24" s="9" t="e">
        <f aca="false">(100-J24)*(G24/100)</f>
        <v>#DIV/0!</v>
      </c>
      <c r="L24" s="9" t="e">
        <f aca="false">K24*(1-F24)</f>
        <v>#DIV/0!</v>
      </c>
      <c r="M24" s="9" t="n">
        <f aca="false">G24*C24*(1-F24)</f>
        <v>0</v>
      </c>
      <c r="N24" s="11" t="e">
        <f aca="false">L24+M24</f>
        <v>#DIV/0!</v>
      </c>
      <c r="O24" s="3"/>
      <c r="P24" s="3"/>
    </row>
    <row r="25" customFormat="false" ht="19.85" hidden="false" customHeight="true" outlineLevel="0" collapsed="false">
      <c r="A25" s="4"/>
      <c r="B25" s="4"/>
      <c r="C25" s="5"/>
      <c r="D25" s="6"/>
      <c r="E25" s="4"/>
      <c r="F25" s="5"/>
      <c r="G25" s="7"/>
      <c r="H25" s="8"/>
      <c r="I25" s="9" t="n">
        <f aca="false">(G25/100)*E25+H25</f>
        <v>0</v>
      </c>
      <c r="J25" s="10" t="e">
        <f aca="false">I25/G25*100</f>
        <v>#DIV/0!</v>
      </c>
      <c r="K25" s="9" t="e">
        <f aca="false">(100-J25)*(G25/100)</f>
        <v>#DIV/0!</v>
      </c>
      <c r="L25" s="9" t="e">
        <f aca="false">K25*(1-F25)</f>
        <v>#DIV/0!</v>
      </c>
      <c r="M25" s="9" t="n">
        <f aca="false">G25*C25*(1-F25)</f>
        <v>0</v>
      </c>
      <c r="N25" s="11" t="e">
        <f aca="false">L25+M25</f>
        <v>#DIV/0!</v>
      </c>
      <c r="O25" s="3"/>
      <c r="P25" s="3"/>
    </row>
    <row r="26" customFormat="false" ht="19.85" hidden="false" customHeight="true" outlineLevel="0" collapsed="false">
      <c r="A26" s="4"/>
      <c r="B26" s="4"/>
      <c r="C26" s="5"/>
      <c r="D26" s="6"/>
      <c r="E26" s="4"/>
      <c r="F26" s="5"/>
      <c r="G26" s="7"/>
      <c r="H26" s="8"/>
      <c r="I26" s="9" t="n">
        <f aca="false">(G26/100)*E26+H26</f>
        <v>0</v>
      </c>
      <c r="J26" s="10" t="e">
        <f aca="false">I26/G26*100</f>
        <v>#DIV/0!</v>
      </c>
      <c r="K26" s="9" t="e">
        <f aca="false">(100-J26)*(G26/100)</f>
        <v>#DIV/0!</v>
      </c>
      <c r="L26" s="9" t="e">
        <f aca="false">K26*(1-F26)</f>
        <v>#DIV/0!</v>
      </c>
      <c r="M26" s="9" t="n">
        <f aca="false">G26*C26*(1-F26)</f>
        <v>0</v>
      </c>
      <c r="N26" s="11" t="e">
        <f aca="false">L26+M26</f>
        <v>#DIV/0!</v>
      </c>
      <c r="O26" s="3"/>
      <c r="P26" s="3"/>
    </row>
    <row r="27" customFormat="false" ht="19.85" hidden="false" customHeight="true" outlineLevel="0" collapsed="false">
      <c r="A27" s="4"/>
      <c r="B27" s="4"/>
      <c r="C27" s="5"/>
      <c r="D27" s="6"/>
      <c r="E27" s="4"/>
      <c r="F27" s="5"/>
      <c r="G27" s="7"/>
      <c r="H27" s="8"/>
      <c r="I27" s="9" t="n">
        <f aca="false">(G27/100)*E27+H27</f>
        <v>0</v>
      </c>
      <c r="J27" s="10" t="e">
        <f aca="false">I27/G27*100</f>
        <v>#DIV/0!</v>
      </c>
      <c r="K27" s="9" t="e">
        <f aca="false">(100-J27)*(G27/100)</f>
        <v>#DIV/0!</v>
      </c>
      <c r="L27" s="9" t="e">
        <f aca="false">K27*(1-F27)</f>
        <v>#DIV/0!</v>
      </c>
      <c r="M27" s="9" t="n">
        <f aca="false">G27*C27*(1-F27)</f>
        <v>0</v>
      </c>
      <c r="N27" s="11" t="e">
        <f aca="false">L27+M27</f>
        <v>#DIV/0!</v>
      </c>
      <c r="O27" s="3"/>
      <c r="P27" s="3"/>
    </row>
    <row r="28" customFormat="false" ht="19.85" hidden="false" customHeight="true" outlineLevel="0" collapsed="false">
      <c r="A28" s="4"/>
      <c r="B28" s="4"/>
      <c r="C28" s="5"/>
      <c r="D28" s="6"/>
      <c r="E28" s="4"/>
      <c r="F28" s="5"/>
      <c r="G28" s="7"/>
      <c r="H28" s="8"/>
      <c r="I28" s="9" t="n">
        <f aca="false">(G28/100)*E28+H28</f>
        <v>0</v>
      </c>
      <c r="J28" s="10" t="e">
        <f aca="false">I28/G28*100</f>
        <v>#DIV/0!</v>
      </c>
      <c r="K28" s="9" t="e">
        <f aca="false">(100-J28)*(G28/100)</f>
        <v>#DIV/0!</v>
      </c>
      <c r="L28" s="9" t="e">
        <f aca="false">K28*(1-F28)</f>
        <v>#DIV/0!</v>
      </c>
      <c r="M28" s="9" t="n">
        <f aca="false">G28*C28*(1-F28)</f>
        <v>0</v>
      </c>
      <c r="N28" s="11" t="e">
        <f aca="false">L28+M28</f>
        <v>#DIV/0!</v>
      </c>
      <c r="O28" s="3"/>
      <c r="P28" s="3"/>
    </row>
    <row r="29" customFormat="false" ht="19.85" hidden="false" customHeight="true" outlineLevel="0" collapsed="false">
      <c r="A29" s="4"/>
      <c r="B29" s="4"/>
      <c r="C29" s="5"/>
      <c r="D29" s="6"/>
      <c r="E29" s="4"/>
      <c r="F29" s="5"/>
      <c r="G29" s="7"/>
      <c r="H29" s="8"/>
      <c r="I29" s="9" t="n">
        <f aca="false">(G29/100)*E29+H29</f>
        <v>0</v>
      </c>
      <c r="J29" s="10" t="e">
        <f aca="false">I29/G29*100</f>
        <v>#DIV/0!</v>
      </c>
      <c r="K29" s="9" t="e">
        <f aca="false">(100-J29)*(G29/100)</f>
        <v>#DIV/0!</v>
      </c>
      <c r="L29" s="9" t="e">
        <f aca="false">K29*(1-F29)</f>
        <v>#DIV/0!</v>
      </c>
      <c r="M29" s="9" t="n">
        <f aca="false">G29*C29*(1-F29)</f>
        <v>0</v>
      </c>
      <c r="N29" s="11" t="e">
        <f aca="false">L29+M29</f>
        <v>#DIV/0!</v>
      </c>
      <c r="O29" s="3"/>
      <c r="P29" s="3"/>
    </row>
    <row r="30" customFormat="false" ht="19.85" hidden="false" customHeight="true" outlineLevel="0" collapsed="false">
      <c r="A30" s="4"/>
      <c r="B30" s="4"/>
      <c r="C30" s="5"/>
      <c r="D30" s="6"/>
      <c r="E30" s="4"/>
      <c r="F30" s="5"/>
      <c r="G30" s="7"/>
      <c r="H30" s="8"/>
      <c r="I30" s="9" t="n">
        <f aca="false">(G30/100)*E30+H30</f>
        <v>0</v>
      </c>
      <c r="J30" s="10" t="e">
        <f aca="false">I30/G30*100</f>
        <v>#DIV/0!</v>
      </c>
      <c r="K30" s="9" t="e">
        <f aca="false">(100-J30)*(G30/100)</f>
        <v>#DIV/0!</v>
      </c>
      <c r="L30" s="9" t="e">
        <f aca="false">K30*(1-F30)</f>
        <v>#DIV/0!</v>
      </c>
      <c r="M30" s="9" t="n">
        <f aca="false">G30*C30*(1-F30)</f>
        <v>0</v>
      </c>
      <c r="N30" s="11" t="e">
        <f aca="false">L30+M30</f>
        <v>#DIV/0!</v>
      </c>
      <c r="O30" s="3"/>
      <c r="P30" s="3"/>
    </row>
    <row r="31" customFormat="false" ht="19.85" hidden="false" customHeight="true" outlineLevel="0" collapsed="false">
      <c r="A31" s="4"/>
      <c r="B31" s="4"/>
      <c r="C31" s="5"/>
      <c r="D31" s="6"/>
      <c r="E31" s="4"/>
      <c r="F31" s="5"/>
      <c r="G31" s="7"/>
      <c r="H31" s="8"/>
      <c r="I31" s="9" t="n">
        <f aca="false">(G31/100)*E31+H31</f>
        <v>0</v>
      </c>
      <c r="J31" s="10" t="e">
        <f aca="false">I31/G31*100</f>
        <v>#DIV/0!</v>
      </c>
      <c r="K31" s="9" t="e">
        <f aca="false">(100-J31)*(G31/100)</f>
        <v>#DIV/0!</v>
      </c>
      <c r="L31" s="9" t="e">
        <f aca="false">K31*(1-F31)</f>
        <v>#DIV/0!</v>
      </c>
      <c r="M31" s="9" t="n">
        <f aca="false">G31*C31*(1-F31)</f>
        <v>0</v>
      </c>
      <c r="N31" s="11" t="e">
        <f aca="false">L31+M31</f>
        <v>#DIV/0!</v>
      </c>
      <c r="O31" s="3"/>
      <c r="P31" s="3"/>
    </row>
    <row r="32" customFormat="false" ht="19.85" hidden="false" customHeight="true" outlineLevel="0" collapsed="false">
      <c r="A32" s="4"/>
      <c r="B32" s="4"/>
      <c r="C32" s="5"/>
      <c r="D32" s="6"/>
      <c r="E32" s="4"/>
      <c r="F32" s="5"/>
      <c r="G32" s="7"/>
      <c r="H32" s="8"/>
      <c r="I32" s="9" t="n">
        <f aca="false">(G32/100)*E32+H32</f>
        <v>0</v>
      </c>
      <c r="J32" s="10" t="e">
        <f aca="false">I32/G32*100</f>
        <v>#DIV/0!</v>
      </c>
      <c r="K32" s="9" t="e">
        <f aca="false">(100-J32)*(G32/100)</f>
        <v>#DIV/0!</v>
      </c>
      <c r="L32" s="9" t="e">
        <f aca="false">K32*(1-F32)</f>
        <v>#DIV/0!</v>
      </c>
      <c r="M32" s="9" t="n">
        <f aca="false">G32*C32*(1-F32)</f>
        <v>0</v>
      </c>
      <c r="N32" s="11" t="e">
        <f aca="false">L32+M32</f>
        <v>#DIV/0!</v>
      </c>
      <c r="O32" s="3"/>
      <c r="P32" s="3"/>
    </row>
    <row r="33" customFormat="false" ht="19.85" hidden="false" customHeight="true" outlineLevel="0" collapsed="false">
      <c r="A33" s="4"/>
      <c r="B33" s="4"/>
      <c r="C33" s="5"/>
      <c r="D33" s="6"/>
      <c r="E33" s="4"/>
      <c r="F33" s="5"/>
      <c r="G33" s="7"/>
      <c r="H33" s="8"/>
      <c r="I33" s="9" t="n">
        <f aca="false">(G33/100)*E33+H33</f>
        <v>0</v>
      </c>
      <c r="J33" s="10" t="e">
        <f aca="false">I33/G33*100</f>
        <v>#DIV/0!</v>
      </c>
      <c r="K33" s="9" t="e">
        <f aca="false">(100-J33)*(G33/100)</f>
        <v>#DIV/0!</v>
      </c>
      <c r="L33" s="9" t="e">
        <f aca="false">K33*(1-F33)</f>
        <v>#DIV/0!</v>
      </c>
      <c r="M33" s="9" t="n">
        <f aca="false">G33*C33*(1-F33)</f>
        <v>0</v>
      </c>
      <c r="N33" s="11" t="e">
        <f aca="false">L33+M33</f>
        <v>#DIV/0!</v>
      </c>
      <c r="O33" s="3"/>
      <c r="P33" s="3"/>
    </row>
    <row r="34" customFormat="false" ht="19.85" hidden="false" customHeight="true" outlineLevel="0" collapsed="false">
      <c r="A34" s="4"/>
      <c r="B34" s="4"/>
      <c r="C34" s="5"/>
      <c r="D34" s="6"/>
      <c r="E34" s="4"/>
      <c r="F34" s="5"/>
      <c r="G34" s="7"/>
      <c r="H34" s="8"/>
      <c r="I34" s="9" t="n">
        <f aca="false">(G34/100)*E34+H34</f>
        <v>0</v>
      </c>
      <c r="J34" s="10" t="e">
        <f aca="false">I34/G34*100</f>
        <v>#DIV/0!</v>
      </c>
      <c r="K34" s="9" t="e">
        <f aca="false">(100-J34)*(G34/100)</f>
        <v>#DIV/0!</v>
      </c>
      <c r="L34" s="9" t="e">
        <f aca="false">K34*(1-F34)</f>
        <v>#DIV/0!</v>
      </c>
      <c r="M34" s="9" t="n">
        <f aca="false">G34*C34*(1-F34)</f>
        <v>0</v>
      </c>
      <c r="N34" s="11" t="e">
        <f aca="false">L34+M34</f>
        <v>#DIV/0!</v>
      </c>
      <c r="O34" s="3"/>
      <c r="P34" s="3"/>
    </row>
    <row r="35" customFormat="false" ht="19.85" hidden="false" customHeight="true" outlineLevel="0" collapsed="false">
      <c r="A35" s="4"/>
      <c r="B35" s="4"/>
      <c r="C35" s="5"/>
      <c r="D35" s="6"/>
      <c r="E35" s="4"/>
      <c r="F35" s="5"/>
      <c r="G35" s="7"/>
      <c r="H35" s="8"/>
      <c r="I35" s="9" t="n">
        <f aca="false">(G35/100)*E35+H35</f>
        <v>0</v>
      </c>
      <c r="J35" s="10" t="e">
        <f aca="false">I35/G35*100</f>
        <v>#DIV/0!</v>
      </c>
      <c r="K35" s="9" t="e">
        <f aca="false">(100-J35)*(G35/100)</f>
        <v>#DIV/0!</v>
      </c>
      <c r="L35" s="9" t="e">
        <f aca="false">K35*(1-F35)</f>
        <v>#DIV/0!</v>
      </c>
      <c r="M35" s="9" t="n">
        <f aca="false">G35*C35*(1-F35)</f>
        <v>0</v>
      </c>
      <c r="N35" s="11" t="e">
        <f aca="false">L35+M35</f>
        <v>#DIV/0!</v>
      </c>
      <c r="O35" s="3"/>
      <c r="P35" s="3"/>
    </row>
    <row r="36" customFormat="false" ht="19.85" hidden="false" customHeight="true" outlineLevel="0" collapsed="false">
      <c r="A36" s="4"/>
      <c r="B36" s="4"/>
      <c r="C36" s="5"/>
      <c r="D36" s="6"/>
      <c r="E36" s="4"/>
      <c r="F36" s="5"/>
      <c r="G36" s="7"/>
      <c r="H36" s="8"/>
      <c r="I36" s="9" t="n">
        <f aca="false">(G36/100)*E36+H36</f>
        <v>0</v>
      </c>
      <c r="J36" s="10" t="e">
        <f aca="false">I36/G36*100</f>
        <v>#DIV/0!</v>
      </c>
      <c r="K36" s="9" t="e">
        <f aca="false">(100-J36)*(G36/100)</f>
        <v>#DIV/0!</v>
      </c>
      <c r="L36" s="9" t="e">
        <f aca="false">K36*(1-F36)</f>
        <v>#DIV/0!</v>
      </c>
      <c r="M36" s="9" t="n">
        <f aca="false">G36*C36*(1-F36)</f>
        <v>0</v>
      </c>
      <c r="N36" s="11" t="e">
        <f aca="false">L36+M36</f>
        <v>#DIV/0!</v>
      </c>
      <c r="O36" s="3"/>
      <c r="P36" s="3"/>
    </row>
    <row r="37" customFormat="false" ht="19.85" hidden="false" customHeight="true" outlineLevel="0" collapsed="false">
      <c r="A37" s="4"/>
      <c r="B37" s="4"/>
      <c r="C37" s="5"/>
      <c r="D37" s="6"/>
      <c r="E37" s="4"/>
      <c r="F37" s="5"/>
      <c r="G37" s="7"/>
      <c r="H37" s="8"/>
      <c r="I37" s="9" t="n">
        <f aca="false">(G37/100)*E37+H37</f>
        <v>0</v>
      </c>
      <c r="J37" s="10" t="e">
        <f aca="false">I37/G37*100</f>
        <v>#DIV/0!</v>
      </c>
      <c r="K37" s="9" t="e">
        <f aca="false">(100-J37)*(G37/100)</f>
        <v>#DIV/0!</v>
      </c>
      <c r="L37" s="9" t="e">
        <f aca="false">K37*(1-F37)</f>
        <v>#DIV/0!</v>
      </c>
      <c r="M37" s="9" t="n">
        <f aca="false">G37*C37*(1-F37)</f>
        <v>0</v>
      </c>
      <c r="N37" s="11" t="e">
        <f aca="false">L37+M37</f>
        <v>#DIV/0!</v>
      </c>
      <c r="O37" s="3"/>
      <c r="P37" s="3"/>
    </row>
    <row r="38" customFormat="false" ht="19.85" hidden="false" customHeight="true" outlineLevel="0" collapsed="false">
      <c r="A38" s="4"/>
      <c r="B38" s="4"/>
      <c r="C38" s="5"/>
      <c r="D38" s="6"/>
      <c r="E38" s="4"/>
      <c r="F38" s="5"/>
      <c r="G38" s="7"/>
      <c r="H38" s="8"/>
      <c r="I38" s="9" t="n">
        <f aca="false">(G38/100)*E38+H38</f>
        <v>0</v>
      </c>
      <c r="J38" s="10" t="e">
        <f aca="false">I38/G38*100</f>
        <v>#DIV/0!</v>
      </c>
      <c r="K38" s="9" t="e">
        <f aca="false">(100-J38)*(G38/100)</f>
        <v>#DIV/0!</v>
      </c>
      <c r="L38" s="9" t="e">
        <f aca="false">K38*(1-F38)</f>
        <v>#DIV/0!</v>
      </c>
      <c r="M38" s="9" t="n">
        <f aca="false">G38*C38*(1-F38)</f>
        <v>0</v>
      </c>
      <c r="N38" s="11" t="e">
        <f aca="false">L38+M38</f>
        <v>#DIV/0!</v>
      </c>
      <c r="O38" s="3"/>
      <c r="P38" s="3"/>
    </row>
    <row r="39" customFormat="false" ht="19.85" hidden="false" customHeight="true" outlineLevel="0" collapsed="false">
      <c r="A39" s="4"/>
      <c r="B39" s="4"/>
      <c r="C39" s="5"/>
      <c r="D39" s="6"/>
      <c r="E39" s="4"/>
      <c r="F39" s="5"/>
      <c r="G39" s="7"/>
      <c r="H39" s="8"/>
      <c r="I39" s="9" t="n">
        <f aca="false">(G39/100)*E39+H39</f>
        <v>0</v>
      </c>
      <c r="J39" s="10" t="e">
        <f aca="false">I39/G39*100</f>
        <v>#DIV/0!</v>
      </c>
      <c r="K39" s="9" t="e">
        <f aca="false">(100-J39)*(G39/100)</f>
        <v>#DIV/0!</v>
      </c>
      <c r="L39" s="9" t="e">
        <f aca="false">K39*(1-F39)</f>
        <v>#DIV/0!</v>
      </c>
      <c r="M39" s="9" t="n">
        <f aca="false">G39*C39*(1-F39)</f>
        <v>0</v>
      </c>
      <c r="N39" s="11" t="e">
        <f aca="false">L39+M39</f>
        <v>#DIV/0!</v>
      </c>
      <c r="O39" s="3"/>
      <c r="P39" s="3"/>
    </row>
    <row r="40" customFormat="false" ht="19.85" hidden="false" customHeight="true" outlineLevel="0" collapsed="false">
      <c r="A40" s="4"/>
      <c r="B40" s="4"/>
      <c r="C40" s="5"/>
      <c r="D40" s="6"/>
      <c r="E40" s="4"/>
      <c r="F40" s="5"/>
      <c r="G40" s="7"/>
      <c r="H40" s="8"/>
      <c r="I40" s="9" t="n">
        <f aca="false">(G40/100)*E40+H40</f>
        <v>0</v>
      </c>
      <c r="J40" s="10" t="e">
        <f aca="false">I40/G40*100</f>
        <v>#DIV/0!</v>
      </c>
      <c r="K40" s="9" t="e">
        <f aca="false">(100-J40)*(G40/100)</f>
        <v>#DIV/0!</v>
      </c>
      <c r="L40" s="9" t="e">
        <f aca="false">K40*(1-F40)</f>
        <v>#DIV/0!</v>
      </c>
      <c r="M40" s="9" t="n">
        <f aca="false">G40*C40*(1-F40)</f>
        <v>0</v>
      </c>
      <c r="N40" s="11" t="e">
        <f aca="false">L40+M40</f>
        <v>#DIV/0!</v>
      </c>
      <c r="O40" s="3"/>
      <c r="P40" s="3"/>
    </row>
    <row r="41" customFormat="false" ht="19.85" hidden="false" customHeight="true" outlineLevel="0" collapsed="false">
      <c r="A41" s="4"/>
      <c r="B41" s="4"/>
      <c r="C41" s="5"/>
      <c r="D41" s="6"/>
      <c r="E41" s="4"/>
      <c r="F41" s="5"/>
      <c r="G41" s="7"/>
      <c r="H41" s="8"/>
      <c r="I41" s="9" t="n">
        <f aca="false">(G41/100)*E41+H41</f>
        <v>0</v>
      </c>
      <c r="J41" s="10" t="e">
        <f aca="false">I41/G41*100</f>
        <v>#DIV/0!</v>
      </c>
      <c r="K41" s="9" t="e">
        <f aca="false">(100-J41)*(G41/100)</f>
        <v>#DIV/0!</v>
      </c>
      <c r="L41" s="9" t="e">
        <f aca="false">K41*(1-F41)</f>
        <v>#DIV/0!</v>
      </c>
      <c r="M41" s="9" t="n">
        <f aca="false">G41*C41*(1-F41)</f>
        <v>0</v>
      </c>
      <c r="N41" s="11" t="e">
        <f aca="false">L41+M41</f>
        <v>#DIV/0!</v>
      </c>
      <c r="O41" s="3"/>
      <c r="P41" s="3"/>
    </row>
    <row r="42" customFormat="false" ht="19.85" hidden="false" customHeight="true" outlineLevel="0" collapsed="false">
      <c r="A42" s="4"/>
      <c r="B42" s="4"/>
      <c r="C42" s="5"/>
      <c r="D42" s="6"/>
      <c r="E42" s="4"/>
      <c r="F42" s="5"/>
      <c r="G42" s="7"/>
      <c r="H42" s="8"/>
      <c r="I42" s="9" t="n">
        <f aca="false">(G42/100)*E42+H42</f>
        <v>0</v>
      </c>
      <c r="J42" s="10" t="e">
        <f aca="false">I42/G42*100</f>
        <v>#DIV/0!</v>
      </c>
      <c r="K42" s="9" t="e">
        <f aca="false">(100-J42)*(G42/100)</f>
        <v>#DIV/0!</v>
      </c>
      <c r="L42" s="9" t="e">
        <f aca="false">K42*(1-F42)</f>
        <v>#DIV/0!</v>
      </c>
      <c r="M42" s="9" t="n">
        <f aca="false">G42*C42*(1-F42)</f>
        <v>0</v>
      </c>
      <c r="N42" s="11" t="e">
        <f aca="false">L42+M42</f>
        <v>#DIV/0!</v>
      </c>
      <c r="O42" s="3"/>
      <c r="P42" s="3"/>
    </row>
    <row r="43" customFormat="false" ht="19.85" hidden="false" customHeight="true" outlineLevel="0" collapsed="false">
      <c r="A43" s="4"/>
      <c r="B43" s="4"/>
      <c r="C43" s="5"/>
      <c r="D43" s="6"/>
      <c r="E43" s="4"/>
      <c r="F43" s="5"/>
      <c r="G43" s="7"/>
      <c r="H43" s="8"/>
      <c r="I43" s="9" t="n">
        <f aca="false">(G43/100)*E43+H43</f>
        <v>0</v>
      </c>
      <c r="J43" s="10" t="e">
        <f aca="false">I43/G43*100</f>
        <v>#DIV/0!</v>
      </c>
      <c r="K43" s="9" t="e">
        <f aca="false">(100-J43)*(G43/100)</f>
        <v>#DIV/0!</v>
      </c>
      <c r="L43" s="9" t="e">
        <f aca="false">K43*(1-F43)</f>
        <v>#DIV/0!</v>
      </c>
      <c r="M43" s="9" t="n">
        <f aca="false">G43*C43*(1-F43)</f>
        <v>0</v>
      </c>
      <c r="N43" s="11" t="e">
        <f aca="false">L43+M43</f>
        <v>#DIV/0!</v>
      </c>
      <c r="O43" s="3"/>
      <c r="P43" s="3"/>
    </row>
  </sheetData>
  <conditionalFormatting sqref="N2:N43">
    <cfRule type="cellIs" priority="2" operator="greaterThan" aboveAverage="0" equalAverage="0" bottom="0" percent="0" rank="0" text="" dxfId="0">
      <formula>0</formula>
    </cfRule>
  </conditionalFormatting>
  <conditionalFormatting sqref="N2:N4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M2" activeCellId="0" sqref="M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13"/>
    <col collapsed="false" customWidth="true" hidden="false" outlineLevel="0" max="2" min="2" style="1" width="13.75"/>
    <col collapsed="false" customWidth="true" hidden="false" outlineLevel="0" max="13" min="13" style="1" width="10.48"/>
  </cols>
  <sheetData>
    <row r="1" s="3" customFormat="true" ht="1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</v>
      </c>
      <c r="J1" s="2" t="s">
        <v>8</v>
      </c>
      <c r="K1" s="2" t="s">
        <v>9</v>
      </c>
      <c r="L1" s="2" t="s">
        <v>10</v>
      </c>
      <c r="M1" s="2" t="s">
        <v>17</v>
      </c>
      <c r="N1" s="2" t="s">
        <v>12</v>
      </c>
      <c r="O1" s="2" t="s">
        <v>13</v>
      </c>
      <c r="R1" s="1"/>
      <c r="S1" s="1"/>
    </row>
    <row r="2" s="3" customFormat="true" ht="19.85" hidden="false" customHeight="true" outlineLevel="0" collapsed="false">
      <c r="A2" s="4" t="s">
        <v>14</v>
      </c>
      <c r="B2" s="4" t="s">
        <v>15</v>
      </c>
      <c r="C2" s="5" t="n">
        <v>0.008</v>
      </c>
      <c r="D2" s="6" t="n">
        <v>46560</v>
      </c>
      <c r="E2" s="4" t="n">
        <v>98.19</v>
      </c>
      <c r="F2" s="5" t="n">
        <v>0.125</v>
      </c>
      <c r="G2" s="7" t="n">
        <v>25000</v>
      </c>
      <c r="H2" s="8" t="n">
        <v>8</v>
      </c>
      <c r="I2" s="13" t="n">
        <f aca="false">IF(F2=0.125,0.4808,1)</f>
        <v>0.4808</v>
      </c>
      <c r="J2" s="9" t="n">
        <f aca="false">(G2/100)*E2+H2</f>
        <v>24555.5</v>
      </c>
      <c r="K2" s="10" t="n">
        <f aca="false">J2/G2*100</f>
        <v>98.222</v>
      </c>
      <c r="L2" s="9" t="n">
        <f aca="false">(100-K2)*(G2/100)</f>
        <v>444.500000000002</v>
      </c>
      <c r="M2" s="9" t="n">
        <f aca="false">L2*I2</f>
        <v>213.715600000001</v>
      </c>
      <c r="N2" s="9" t="n">
        <f aca="false">G2*C2*(1-F2)</f>
        <v>175</v>
      </c>
      <c r="O2" s="11" t="n">
        <f aca="false">L2+N2</f>
        <v>619.500000000002</v>
      </c>
      <c r="R2" s="1"/>
      <c r="S2" s="1"/>
    </row>
    <row r="3" s="3" customFormat="true" ht="19.85" hidden="false" customHeight="true" outlineLevel="0" collapsed="false">
      <c r="A3" s="4"/>
      <c r="B3" s="4"/>
      <c r="C3" s="5"/>
      <c r="D3" s="6"/>
      <c r="E3" s="4"/>
      <c r="F3" s="5"/>
      <c r="G3" s="7"/>
      <c r="H3" s="8"/>
      <c r="I3" s="13" t="n">
        <f aca="false">IF(F3=0.125,0.4808,1)</f>
        <v>1</v>
      </c>
      <c r="J3" s="9" t="n">
        <f aca="false">(G3/100)*E3+H3</f>
        <v>0</v>
      </c>
      <c r="K3" s="10" t="e">
        <f aca="false">J3/G3*100</f>
        <v>#DIV/0!</v>
      </c>
      <c r="L3" s="9" t="e">
        <f aca="false">(100-K3)*(G3/100)</f>
        <v>#DIV/0!</v>
      </c>
      <c r="M3" s="9" t="e">
        <f aca="false">L3*I3</f>
        <v>#DIV/0!</v>
      </c>
      <c r="N3" s="9" t="n">
        <f aca="false">G3*C3*(1-F3)</f>
        <v>0</v>
      </c>
      <c r="O3" s="11" t="e">
        <f aca="false">L3+N3</f>
        <v>#DIV/0!</v>
      </c>
      <c r="Q3" s="12"/>
      <c r="R3" s="1"/>
      <c r="S3" s="1"/>
    </row>
    <row r="4" s="3" customFormat="true" ht="19.85" hidden="false" customHeight="true" outlineLevel="0" collapsed="false">
      <c r="A4" s="4"/>
      <c r="B4" s="4"/>
      <c r="C4" s="5"/>
      <c r="D4" s="6"/>
      <c r="E4" s="4"/>
      <c r="F4" s="5"/>
      <c r="G4" s="7"/>
      <c r="H4" s="8"/>
      <c r="I4" s="13" t="n">
        <f aca="false">IF(F4=0.125,0.4808,1)</f>
        <v>1</v>
      </c>
      <c r="J4" s="9" t="n">
        <f aca="false">(G4/100)*E4+H4</f>
        <v>0</v>
      </c>
      <c r="K4" s="10" t="e">
        <f aca="false">J4/G4*100</f>
        <v>#DIV/0!</v>
      </c>
      <c r="L4" s="9" t="e">
        <f aca="false">(100-K4)*(G4/100)</f>
        <v>#DIV/0!</v>
      </c>
      <c r="M4" s="9" t="e">
        <f aca="false">L4*I4</f>
        <v>#DIV/0!</v>
      </c>
      <c r="N4" s="9" t="n">
        <f aca="false">G4*C4*(1-F4)</f>
        <v>0</v>
      </c>
      <c r="O4" s="11" t="e">
        <f aca="false">L4+N4</f>
        <v>#DIV/0!</v>
      </c>
      <c r="R4" s="1"/>
      <c r="S4" s="1"/>
    </row>
    <row r="5" s="3" customFormat="true" ht="19.85" hidden="false" customHeight="true" outlineLevel="0" collapsed="false">
      <c r="A5" s="4"/>
      <c r="B5" s="4"/>
      <c r="C5" s="5"/>
      <c r="D5" s="6"/>
      <c r="E5" s="4"/>
      <c r="F5" s="5"/>
      <c r="G5" s="7"/>
      <c r="H5" s="8"/>
      <c r="I5" s="13" t="n">
        <f aca="false">IF(F5=0.125,0.4808,1)</f>
        <v>1</v>
      </c>
      <c r="J5" s="9" t="n">
        <f aca="false">(G5/100)*E5+H5</f>
        <v>0</v>
      </c>
      <c r="K5" s="10" t="e">
        <f aca="false">J5/G5*100</f>
        <v>#DIV/0!</v>
      </c>
      <c r="L5" s="9" t="e">
        <f aca="false">(100-K5)*(G5/100)</f>
        <v>#DIV/0!</v>
      </c>
      <c r="M5" s="9" t="e">
        <f aca="false">L5*I5</f>
        <v>#DIV/0!</v>
      </c>
      <c r="N5" s="9" t="n">
        <f aca="false">G5*C5*(1-F5)</f>
        <v>0</v>
      </c>
      <c r="O5" s="11" t="e">
        <f aca="false">L5+N5</f>
        <v>#DIV/0!</v>
      </c>
      <c r="R5" s="1"/>
      <c r="S5" s="1"/>
    </row>
    <row r="6" s="3" customFormat="true" ht="19.85" hidden="false" customHeight="true" outlineLevel="0" collapsed="false">
      <c r="A6" s="4"/>
      <c r="B6" s="4"/>
      <c r="C6" s="5"/>
      <c r="D6" s="6"/>
      <c r="E6" s="4"/>
      <c r="F6" s="5"/>
      <c r="G6" s="7"/>
      <c r="H6" s="8"/>
      <c r="I6" s="13" t="n">
        <f aca="false">IF(F6=0.125,0.4808,1)</f>
        <v>1</v>
      </c>
      <c r="J6" s="9" t="n">
        <f aca="false">(G6/100)*E6+H6</f>
        <v>0</v>
      </c>
      <c r="K6" s="10" t="e">
        <f aca="false">J6/G6*100</f>
        <v>#DIV/0!</v>
      </c>
      <c r="L6" s="9" t="e">
        <f aca="false">(100-K6)*(G6/100)</f>
        <v>#DIV/0!</v>
      </c>
      <c r="M6" s="9" t="e">
        <f aca="false">L6*I6</f>
        <v>#DIV/0!</v>
      </c>
      <c r="N6" s="9" t="n">
        <f aca="false">G6*C6*(1-F6)</f>
        <v>0</v>
      </c>
      <c r="O6" s="11" t="e">
        <f aca="false">L6+N6</f>
        <v>#DIV/0!</v>
      </c>
      <c r="R6" s="1"/>
      <c r="S6" s="1"/>
    </row>
    <row r="7" s="3" customFormat="true" ht="19.85" hidden="false" customHeight="true" outlineLevel="0" collapsed="false">
      <c r="A7" s="4"/>
      <c r="B7" s="4"/>
      <c r="C7" s="5"/>
      <c r="D7" s="6"/>
      <c r="E7" s="4"/>
      <c r="F7" s="5"/>
      <c r="G7" s="7"/>
      <c r="H7" s="8"/>
      <c r="I7" s="13" t="n">
        <f aca="false">IF(F7=0.125,0.4808,1)</f>
        <v>1</v>
      </c>
      <c r="J7" s="9" t="n">
        <f aca="false">(G7/100)*E7+H7</f>
        <v>0</v>
      </c>
      <c r="K7" s="10" t="e">
        <f aca="false">J7/G7*100</f>
        <v>#DIV/0!</v>
      </c>
      <c r="L7" s="9" t="e">
        <f aca="false">(100-K7)*(G7/100)</f>
        <v>#DIV/0!</v>
      </c>
      <c r="M7" s="9" t="e">
        <f aca="false">L7*I7</f>
        <v>#DIV/0!</v>
      </c>
      <c r="N7" s="9" t="n">
        <f aca="false">G7*C7*(1-F7)</f>
        <v>0</v>
      </c>
      <c r="O7" s="11" t="e">
        <f aca="false">L7+N7</f>
        <v>#DIV/0!</v>
      </c>
      <c r="R7" s="1"/>
      <c r="S7" s="1"/>
    </row>
    <row r="8" s="3" customFormat="true" ht="19.85" hidden="false" customHeight="true" outlineLevel="0" collapsed="false">
      <c r="A8" s="4"/>
      <c r="B8" s="4"/>
      <c r="C8" s="5"/>
      <c r="D8" s="6"/>
      <c r="E8" s="4"/>
      <c r="F8" s="5"/>
      <c r="G8" s="7"/>
      <c r="H8" s="8"/>
      <c r="I8" s="13" t="n">
        <f aca="false">IF(F8=0.125,0.4808,1)</f>
        <v>1</v>
      </c>
      <c r="J8" s="9" t="n">
        <f aca="false">(G8/100)*E8+H8</f>
        <v>0</v>
      </c>
      <c r="K8" s="10" t="e">
        <f aca="false">J8/G8*100</f>
        <v>#DIV/0!</v>
      </c>
      <c r="L8" s="9" t="e">
        <f aca="false">(100-K8)*(G8/100)</f>
        <v>#DIV/0!</v>
      </c>
      <c r="M8" s="9" t="e">
        <f aca="false">L8*I8</f>
        <v>#DIV/0!</v>
      </c>
      <c r="N8" s="9" t="n">
        <f aca="false">G8*C8*(1-F8)</f>
        <v>0</v>
      </c>
      <c r="O8" s="11" t="e">
        <f aca="false">L8+N8</f>
        <v>#DIV/0!</v>
      </c>
      <c r="R8" s="1"/>
      <c r="S8" s="1"/>
    </row>
    <row r="9" s="3" customFormat="true" ht="19.85" hidden="false" customHeight="true" outlineLevel="0" collapsed="false">
      <c r="A9" s="4"/>
      <c r="B9" s="4"/>
      <c r="C9" s="5"/>
      <c r="D9" s="6"/>
      <c r="E9" s="4"/>
      <c r="F9" s="5"/>
      <c r="G9" s="7"/>
      <c r="H9" s="8"/>
      <c r="I9" s="13" t="n">
        <f aca="false">IF(F9=0.125,0.4808,1)</f>
        <v>1</v>
      </c>
      <c r="J9" s="9" t="n">
        <f aca="false">(G9/100)*E9+H9</f>
        <v>0</v>
      </c>
      <c r="K9" s="10" t="e">
        <f aca="false">J9/G9*100</f>
        <v>#DIV/0!</v>
      </c>
      <c r="L9" s="9" t="e">
        <f aca="false">(100-K9)*(G9/100)</f>
        <v>#DIV/0!</v>
      </c>
      <c r="M9" s="9" t="e">
        <f aca="false">L9*I9</f>
        <v>#DIV/0!</v>
      </c>
      <c r="N9" s="9" t="n">
        <f aca="false">G9*C9*(1-F9)</f>
        <v>0</v>
      </c>
      <c r="O9" s="11" t="e">
        <f aca="false">L9+N9</f>
        <v>#DIV/0!</v>
      </c>
      <c r="R9" s="1"/>
      <c r="S9" s="1"/>
    </row>
    <row r="10" s="3" customFormat="true" ht="19.85" hidden="false" customHeight="true" outlineLevel="0" collapsed="false">
      <c r="A10" s="4"/>
      <c r="B10" s="4"/>
      <c r="C10" s="5"/>
      <c r="D10" s="6"/>
      <c r="E10" s="4"/>
      <c r="F10" s="5"/>
      <c r="G10" s="7"/>
      <c r="H10" s="8"/>
      <c r="I10" s="13" t="n">
        <f aca="false">IF(F10=0.125,0.4808,1)</f>
        <v>1</v>
      </c>
      <c r="J10" s="9" t="n">
        <f aca="false">(G10/100)*E10+H10</f>
        <v>0</v>
      </c>
      <c r="K10" s="10" t="e">
        <f aca="false">J10/G10*100</f>
        <v>#DIV/0!</v>
      </c>
      <c r="L10" s="9" t="e">
        <f aca="false">(100-K10)*(G10/100)</f>
        <v>#DIV/0!</v>
      </c>
      <c r="M10" s="9" t="e">
        <f aca="false">L10*I10</f>
        <v>#DIV/0!</v>
      </c>
      <c r="N10" s="9" t="n">
        <f aca="false">G10*C10*(1-F10)</f>
        <v>0</v>
      </c>
      <c r="O10" s="11" t="e">
        <f aca="false">L10+N10</f>
        <v>#DIV/0!</v>
      </c>
      <c r="R10" s="1"/>
      <c r="S10" s="1"/>
    </row>
    <row r="11" s="3" customFormat="true" ht="19.85" hidden="false" customHeight="true" outlineLevel="0" collapsed="false">
      <c r="A11" s="4"/>
      <c r="B11" s="4"/>
      <c r="C11" s="5"/>
      <c r="D11" s="6"/>
      <c r="E11" s="4"/>
      <c r="F11" s="5"/>
      <c r="G11" s="7"/>
      <c r="H11" s="8"/>
      <c r="I11" s="13" t="n">
        <f aca="false">IF(F11=0.125,0.4808,1)</f>
        <v>1</v>
      </c>
      <c r="J11" s="9" t="n">
        <f aca="false">(G11/100)*E11+H11</f>
        <v>0</v>
      </c>
      <c r="K11" s="10" t="e">
        <f aca="false">J11/G11*100</f>
        <v>#DIV/0!</v>
      </c>
      <c r="L11" s="9" t="e">
        <f aca="false">(100-K11)*(G11/100)</f>
        <v>#DIV/0!</v>
      </c>
      <c r="M11" s="9" t="e">
        <f aca="false">L11*I11</f>
        <v>#DIV/0!</v>
      </c>
      <c r="N11" s="9" t="n">
        <f aca="false">G11*C11*(1-F11)</f>
        <v>0</v>
      </c>
      <c r="O11" s="11" t="e">
        <f aca="false">L11+N11</f>
        <v>#DIV/0!</v>
      </c>
      <c r="R11" s="1"/>
      <c r="S11" s="1"/>
    </row>
    <row r="12" s="3" customFormat="true" ht="19.85" hidden="false" customHeight="true" outlineLevel="0" collapsed="false">
      <c r="A12" s="4"/>
      <c r="B12" s="4"/>
      <c r="C12" s="5"/>
      <c r="D12" s="6"/>
      <c r="E12" s="4"/>
      <c r="F12" s="5"/>
      <c r="G12" s="7"/>
      <c r="H12" s="8"/>
      <c r="I12" s="13" t="n">
        <f aca="false">IF(F12=0.125,0.4808,1)</f>
        <v>1</v>
      </c>
      <c r="J12" s="9" t="n">
        <f aca="false">(G12/100)*E12+H12</f>
        <v>0</v>
      </c>
      <c r="K12" s="10" t="e">
        <f aca="false">J12/G12*100</f>
        <v>#DIV/0!</v>
      </c>
      <c r="L12" s="9" t="e">
        <f aca="false">(100-K12)*(G12/100)</f>
        <v>#DIV/0!</v>
      </c>
      <c r="M12" s="9" t="e">
        <f aca="false">L12*I12</f>
        <v>#DIV/0!</v>
      </c>
      <c r="N12" s="9" t="n">
        <f aca="false">G12*C12*(1-F12)</f>
        <v>0</v>
      </c>
      <c r="O12" s="11" t="e">
        <f aca="false">L12+N12</f>
        <v>#DIV/0!</v>
      </c>
      <c r="R12" s="1"/>
      <c r="S12" s="1"/>
    </row>
    <row r="13" s="3" customFormat="true" ht="19.85" hidden="false" customHeight="true" outlineLevel="0" collapsed="false">
      <c r="A13" s="4"/>
      <c r="B13" s="4"/>
      <c r="C13" s="5"/>
      <c r="D13" s="6"/>
      <c r="E13" s="4"/>
      <c r="F13" s="5"/>
      <c r="G13" s="7"/>
      <c r="H13" s="8"/>
      <c r="I13" s="13" t="n">
        <f aca="false">IF(F13=0.125,0.4808,1)</f>
        <v>1</v>
      </c>
      <c r="J13" s="9" t="n">
        <f aca="false">(G13/100)*E13+H13</f>
        <v>0</v>
      </c>
      <c r="K13" s="10" t="e">
        <f aca="false">J13/G13*100</f>
        <v>#DIV/0!</v>
      </c>
      <c r="L13" s="9" t="e">
        <f aca="false">(100-K13)*(G13/100)</f>
        <v>#DIV/0!</v>
      </c>
      <c r="M13" s="9" t="e">
        <f aca="false">L13*I13</f>
        <v>#DIV/0!</v>
      </c>
      <c r="N13" s="9" t="n">
        <f aca="false">G13*C13*(1-F13)</f>
        <v>0</v>
      </c>
      <c r="O13" s="11" t="e">
        <f aca="false">L13+N13</f>
        <v>#DIV/0!</v>
      </c>
      <c r="R13" s="1"/>
      <c r="S13" s="1"/>
    </row>
    <row r="14" s="3" customFormat="true" ht="19.85" hidden="false" customHeight="true" outlineLevel="0" collapsed="false">
      <c r="A14" s="4"/>
      <c r="B14" s="4"/>
      <c r="C14" s="5"/>
      <c r="D14" s="6"/>
      <c r="E14" s="4"/>
      <c r="F14" s="5"/>
      <c r="G14" s="7"/>
      <c r="H14" s="8"/>
      <c r="I14" s="13" t="n">
        <f aca="false">IF(F14=0.125,0.4808,1)</f>
        <v>1</v>
      </c>
      <c r="J14" s="9" t="n">
        <f aca="false">(G14/100)*E14+H14</f>
        <v>0</v>
      </c>
      <c r="K14" s="10" t="e">
        <f aca="false">J14/G14*100</f>
        <v>#DIV/0!</v>
      </c>
      <c r="L14" s="9" t="e">
        <f aca="false">(100-K14)*(G14/100)</f>
        <v>#DIV/0!</v>
      </c>
      <c r="M14" s="9" t="e">
        <f aca="false">L14*I14</f>
        <v>#DIV/0!</v>
      </c>
      <c r="N14" s="9" t="n">
        <f aca="false">G14*C14*(1-F14)</f>
        <v>0</v>
      </c>
      <c r="O14" s="11" t="e">
        <f aca="false">L14+N14</f>
        <v>#DIV/0!</v>
      </c>
      <c r="R14" s="1"/>
      <c r="S14" s="1"/>
    </row>
    <row r="15" s="3" customFormat="true" ht="19.85" hidden="false" customHeight="true" outlineLevel="0" collapsed="false">
      <c r="A15" s="4"/>
      <c r="B15" s="4"/>
      <c r="C15" s="5"/>
      <c r="D15" s="6"/>
      <c r="E15" s="4"/>
      <c r="F15" s="5"/>
      <c r="G15" s="7"/>
      <c r="H15" s="8"/>
      <c r="I15" s="13" t="n">
        <f aca="false">IF(F15=0.125,0.4808,1)</f>
        <v>1</v>
      </c>
      <c r="J15" s="9" t="n">
        <f aca="false">(G15/100)*E15+H15</f>
        <v>0</v>
      </c>
      <c r="K15" s="10" t="e">
        <f aca="false">J15/G15*100</f>
        <v>#DIV/0!</v>
      </c>
      <c r="L15" s="9" t="e">
        <f aca="false">(100-K15)*(G15/100)</f>
        <v>#DIV/0!</v>
      </c>
      <c r="M15" s="9" t="e">
        <f aca="false">L15*I15</f>
        <v>#DIV/0!</v>
      </c>
      <c r="N15" s="9" t="n">
        <f aca="false">G15*C15*(1-F15)</f>
        <v>0</v>
      </c>
      <c r="O15" s="11" t="e">
        <f aca="false">L15+N15</f>
        <v>#DIV/0!</v>
      </c>
      <c r="R15" s="1"/>
      <c r="S15" s="1"/>
    </row>
    <row r="16" s="3" customFormat="true" ht="19.85" hidden="false" customHeight="true" outlineLevel="0" collapsed="false">
      <c r="A16" s="4"/>
      <c r="B16" s="4"/>
      <c r="C16" s="5"/>
      <c r="D16" s="6"/>
      <c r="E16" s="4"/>
      <c r="F16" s="5"/>
      <c r="G16" s="7"/>
      <c r="H16" s="8"/>
      <c r="I16" s="13" t="n">
        <f aca="false">IF(F16=0.125,0.4808,1)</f>
        <v>1</v>
      </c>
      <c r="J16" s="9" t="n">
        <f aca="false">(G16/100)*E16+H16</f>
        <v>0</v>
      </c>
      <c r="K16" s="10" t="e">
        <f aca="false">J16/G16*100</f>
        <v>#DIV/0!</v>
      </c>
      <c r="L16" s="9" t="e">
        <f aca="false">(100-K16)*(G16/100)</f>
        <v>#DIV/0!</v>
      </c>
      <c r="M16" s="9" t="e">
        <f aca="false">L16*I16</f>
        <v>#DIV/0!</v>
      </c>
      <c r="N16" s="9" t="n">
        <f aca="false">G16*C16*(1-F16)</f>
        <v>0</v>
      </c>
      <c r="O16" s="11" t="e">
        <f aca="false">L16+N16</f>
        <v>#DIV/0!</v>
      </c>
      <c r="R16" s="1"/>
      <c r="S16" s="1"/>
    </row>
    <row r="17" s="3" customFormat="true" ht="19.85" hidden="false" customHeight="true" outlineLevel="0" collapsed="false">
      <c r="A17" s="4"/>
      <c r="B17" s="4"/>
      <c r="C17" s="5"/>
      <c r="D17" s="6"/>
      <c r="E17" s="4"/>
      <c r="F17" s="5"/>
      <c r="G17" s="7"/>
      <c r="H17" s="8"/>
      <c r="I17" s="13" t="n">
        <f aca="false">IF(F17=0.125,0.4808,1)</f>
        <v>1</v>
      </c>
      <c r="J17" s="9" t="n">
        <f aca="false">(G17/100)*E17+H17</f>
        <v>0</v>
      </c>
      <c r="K17" s="10" t="e">
        <f aca="false">J17/G17*100</f>
        <v>#DIV/0!</v>
      </c>
      <c r="L17" s="9" t="e">
        <f aca="false">(100-K17)*(G17/100)</f>
        <v>#DIV/0!</v>
      </c>
      <c r="M17" s="9" t="e">
        <f aca="false">L17*I17</f>
        <v>#DIV/0!</v>
      </c>
      <c r="N17" s="9" t="n">
        <f aca="false">G17*C17*(1-F17)</f>
        <v>0</v>
      </c>
      <c r="O17" s="11" t="e">
        <f aca="false">L17+N17</f>
        <v>#DIV/0!</v>
      </c>
      <c r="R17" s="1"/>
      <c r="S17" s="1"/>
    </row>
    <row r="18" s="3" customFormat="true" ht="19.85" hidden="false" customHeight="true" outlineLevel="0" collapsed="false">
      <c r="A18" s="4"/>
      <c r="B18" s="4"/>
      <c r="C18" s="5"/>
      <c r="D18" s="6"/>
      <c r="E18" s="4"/>
      <c r="F18" s="5"/>
      <c r="G18" s="7"/>
      <c r="H18" s="8"/>
      <c r="I18" s="13" t="n">
        <f aca="false">IF(F18=0.125,0.4808,1)</f>
        <v>1</v>
      </c>
      <c r="J18" s="9" t="n">
        <f aca="false">(G18/100)*E18+H18</f>
        <v>0</v>
      </c>
      <c r="K18" s="10" t="e">
        <f aca="false">J18/G18*100</f>
        <v>#DIV/0!</v>
      </c>
      <c r="L18" s="9" t="e">
        <f aca="false">(100-K18)*(G18/100)</f>
        <v>#DIV/0!</v>
      </c>
      <c r="M18" s="9" t="e">
        <f aca="false">L18*I18</f>
        <v>#DIV/0!</v>
      </c>
      <c r="N18" s="9" t="n">
        <f aca="false">G18*C18*(1-F18)</f>
        <v>0</v>
      </c>
      <c r="O18" s="11" t="e">
        <f aca="false">L18+N18</f>
        <v>#DIV/0!</v>
      </c>
      <c r="R18" s="1"/>
      <c r="S18" s="1"/>
    </row>
    <row r="19" s="3" customFormat="true" ht="19.85" hidden="false" customHeight="true" outlineLevel="0" collapsed="false">
      <c r="A19" s="4"/>
      <c r="B19" s="4"/>
      <c r="C19" s="5"/>
      <c r="D19" s="6"/>
      <c r="E19" s="4"/>
      <c r="F19" s="5"/>
      <c r="G19" s="7"/>
      <c r="H19" s="8"/>
      <c r="I19" s="13" t="n">
        <f aca="false">IF(F19=0.125,0.4808,1)</f>
        <v>1</v>
      </c>
      <c r="J19" s="9" t="n">
        <f aca="false">(G19/100)*E19+H19</f>
        <v>0</v>
      </c>
      <c r="K19" s="10" t="e">
        <f aca="false">J19/G19*100</f>
        <v>#DIV/0!</v>
      </c>
      <c r="L19" s="9" t="e">
        <f aca="false">(100-K19)*(G19/100)</f>
        <v>#DIV/0!</v>
      </c>
      <c r="M19" s="9" t="e">
        <f aca="false">L19*I19</f>
        <v>#DIV/0!</v>
      </c>
      <c r="N19" s="9" t="n">
        <f aca="false">G19*C19*(1-F19)</f>
        <v>0</v>
      </c>
      <c r="O19" s="11" t="e">
        <f aca="false">L19+N19</f>
        <v>#DIV/0!</v>
      </c>
      <c r="R19" s="1"/>
      <c r="S19" s="1"/>
    </row>
    <row r="20" s="3" customFormat="true" ht="19.85" hidden="false" customHeight="true" outlineLevel="0" collapsed="false">
      <c r="A20" s="4"/>
      <c r="B20" s="4"/>
      <c r="C20" s="5"/>
      <c r="D20" s="6"/>
      <c r="E20" s="4"/>
      <c r="F20" s="5"/>
      <c r="G20" s="7"/>
      <c r="H20" s="8"/>
      <c r="I20" s="13" t="n">
        <f aca="false">IF(F20=0.125,0.4808,1)</f>
        <v>1</v>
      </c>
      <c r="J20" s="9" t="n">
        <f aca="false">(G20/100)*E20+H20</f>
        <v>0</v>
      </c>
      <c r="K20" s="10" t="e">
        <f aca="false">J20/G20*100</f>
        <v>#DIV/0!</v>
      </c>
      <c r="L20" s="9" t="e">
        <f aca="false">(100-K20)*(G20/100)</f>
        <v>#DIV/0!</v>
      </c>
      <c r="M20" s="9" t="e">
        <f aca="false">L20*I20</f>
        <v>#DIV/0!</v>
      </c>
      <c r="N20" s="9" t="n">
        <f aca="false">G20*C20*(1-F20)</f>
        <v>0</v>
      </c>
      <c r="O20" s="11" t="e">
        <f aca="false">L20+N20</f>
        <v>#DIV/0!</v>
      </c>
      <c r="R20" s="1"/>
      <c r="S20" s="1"/>
    </row>
    <row r="21" s="3" customFormat="true" ht="19.85" hidden="false" customHeight="true" outlineLevel="0" collapsed="false">
      <c r="A21" s="4"/>
      <c r="B21" s="4"/>
      <c r="C21" s="5"/>
      <c r="D21" s="6"/>
      <c r="E21" s="4"/>
      <c r="F21" s="5"/>
      <c r="G21" s="7"/>
      <c r="H21" s="8"/>
      <c r="I21" s="13" t="n">
        <f aca="false">IF(F21=0.125,0.4808,1)</f>
        <v>1</v>
      </c>
      <c r="J21" s="9" t="n">
        <f aca="false">(G21/100)*E21+H21</f>
        <v>0</v>
      </c>
      <c r="K21" s="10" t="e">
        <f aca="false">J21/G21*100</f>
        <v>#DIV/0!</v>
      </c>
      <c r="L21" s="9" t="e">
        <f aca="false">(100-K21)*(G21/100)</f>
        <v>#DIV/0!</v>
      </c>
      <c r="M21" s="9" t="e">
        <f aca="false">L21*I21</f>
        <v>#DIV/0!</v>
      </c>
      <c r="N21" s="9" t="n">
        <f aca="false">G21*C21*(1-F21)</f>
        <v>0</v>
      </c>
      <c r="O21" s="11" t="e">
        <f aca="false">L21+N21</f>
        <v>#DIV/0!</v>
      </c>
      <c r="R21" s="1"/>
      <c r="S21" s="1"/>
    </row>
    <row r="22" s="3" customFormat="true" ht="19.85" hidden="false" customHeight="true" outlineLevel="0" collapsed="false">
      <c r="A22" s="4"/>
      <c r="B22" s="4"/>
      <c r="C22" s="5"/>
      <c r="D22" s="6"/>
      <c r="E22" s="4"/>
      <c r="F22" s="5"/>
      <c r="G22" s="7"/>
      <c r="H22" s="8"/>
      <c r="I22" s="13" t="n">
        <f aca="false">IF(F22=0.125,0.4808,1)</f>
        <v>1</v>
      </c>
      <c r="J22" s="9" t="n">
        <f aca="false">(G22/100)*E22+H22</f>
        <v>0</v>
      </c>
      <c r="K22" s="10" t="e">
        <f aca="false">J22/G22*100</f>
        <v>#DIV/0!</v>
      </c>
      <c r="L22" s="9" t="e">
        <f aca="false">(100-K22)*(G22/100)</f>
        <v>#DIV/0!</v>
      </c>
      <c r="M22" s="9" t="e">
        <f aca="false">L22*I22</f>
        <v>#DIV/0!</v>
      </c>
      <c r="N22" s="9" t="n">
        <f aca="false">G22*C22*(1-F22)</f>
        <v>0</v>
      </c>
      <c r="O22" s="11" t="e">
        <f aca="false">L22+N22</f>
        <v>#DIV/0!</v>
      </c>
      <c r="R22" s="1"/>
      <c r="S22" s="1"/>
    </row>
    <row r="23" s="3" customFormat="true" ht="19.85" hidden="false" customHeight="true" outlineLevel="0" collapsed="false">
      <c r="A23" s="4"/>
      <c r="B23" s="4"/>
      <c r="C23" s="5"/>
      <c r="D23" s="6"/>
      <c r="E23" s="4"/>
      <c r="F23" s="5"/>
      <c r="G23" s="7"/>
      <c r="H23" s="8"/>
      <c r="I23" s="13" t="n">
        <f aca="false">IF(F23=0.125,0.4808,1)</f>
        <v>1</v>
      </c>
      <c r="J23" s="9" t="n">
        <f aca="false">(G23/100)*E23+H23</f>
        <v>0</v>
      </c>
      <c r="K23" s="10" t="e">
        <f aca="false">J23/G23*100</f>
        <v>#DIV/0!</v>
      </c>
      <c r="L23" s="9" t="e">
        <f aca="false">(100-K23)*(G23/100)</f>
        <v>#DIV/0!</v>
      </c>
      <c r="M23" s="9" t="e">
        <f aca="false">L23*I23</f>
        <v>#DIV/0!</v>
      </c>
      <c r="N23" s="9" t="n">
        <f aca="false">G23*C23*(1-F23)</f>
        <v>0</v>
      </c>
      <c r="O23" s="11" t="e">
        <f aca="false">L23+N23</f>
        <v>#DIV/0!</v>
      </c>
      <c r="R23" s="1"/>
      <c r="S23" s="1"/>
    </row>
    <row r="24" s="3" customFormat="true" ht="19.85" hidden="false" customHeight="true" outlineLevel="0" collapsed="false">
      <c r="A24" s="4"/>
      <c r="B24" s="4"/>
      <c r="C24" s="5"/>
      <c r="D24" s="6"/>
      <c r="E24" s="4"/>
      <c r="F24" s="5"/>
      <c r="G24" s="7"/>
      <c r="H24" s="8"/>
      <c r="I24" s="13" t="n">
        <f aca="false">IF(F24=0.125,0.4808,1)</f>
        <v>1</v>
      </c>
      <c r="J24" s="9" t="n">
        <f aca="false">(G24/100)*E24+H24</f>
        <v>0</v>
      </c>
      <c r="K24" s="10" t="e">
        <f aca="false">J24/G24*100</f>
        <v>#DIV/0!</v>
      </c>
      <c r="L24" s="9" t="e">
        <f aca="false">(100-K24)*(G24/100)</f>
        <v>#DIV/0!</v>
      </c>
      <c r="M24" s="9" t="e">
        <f aca="false">L24*I24</f>
        <v>#DIV/0!</v>
      </c>
      <c r="N24" s="9" t="n">
        <f aca="false">G24*C24*(1-F24)</f>
        <v>0</v>
      </c>
      <c r="O24" s="11" t="e">
        <f aca="false">L24+N24</f>
        <v>#DIV/0!</v>
      </c>
      <c r="R24" s="1"/>
      <c r="S24" s="1"/>
    </row>
    <row r="25" s="3" customFormat="true" ht="19.85" hidden="false" customHeight="true" outlineLevel="0" collapsed="false">
      <c r="A25" s="4"/>
      <c r="B25" s="4"/>
      <c r="C25" s="5"/>
      <c r="D25" s="6"/>
      <c r="E25" s="4"/>
      <c r="F25" s="5"/>
      <c r="G25" s="7"/>
      <c r="H25" s="8"/>
      <c r="I25" s="13" t="n">
        <f aca="false">IF(F25=0.125,0.4808,1)</f>
        <v>1</v>
      </c>
      <c r="J25" s="9" t="n">
        <f aca="false">(G25/100)*E25+H25</f>
        <v>0</v>
      </c>
      <c r="K25" s="10" t="e">
        <f aca="false">J25/G25*100</f>
        <v>#DIV/0!</v>
      </c>
      <c r="L25" s="9" t="e">
        <f aca="false">(100-K25)*(G25/100)</f>
        <v>#DIV/0!</v>
      </c>
      <c r="M25" s="9" t="e">
        <f aca="false">L25*I25</f>
        <v>#DIV/0!</v>
      </c>
      <c r="N25" s="9" t="n">
        <f aca="false">G25*C25*(1-F25)</f>
        <v>0</v>
      </c>
      <c r="O25" s="11" t="e">
        <f aca="false">L25+N25</f>
        <v>#DIV/0!</v>
      </c>
      <c r="R25" s="1"/>
      <c r="S25" s="1"/>
    </row>
    <row r="26" s="3" customFormat="true" ht="19.85" hidden="false" customHeight="true" outlineLevel="0" collapsed="false">
      <c r="A26" s="4"/>
      <c r="B26" s="4"/>
      <c r="C26" s="5"/>
      <c r="D26" s="6"/>
      <c r="E26" s="4"/>
      <c r="F26" s="5"/>
      <c r="G26" s="7"/>
      <c r="H26" s="8"/>
      <c r="I26" s="13" t="n">
        <f aca="false">IF(F26=0.125,0.4808,1)</f>
        <v>1</v>
      </c>
      <c r="J26" s="9" t="n">
        <f aca="false">(G26/100)*E26+H26</f>
        <v>0</v>
      </c>
      <c r="K26" s="10" t="e">
        <f aca="false">J26/G26*100</f>
        <v>#DIV/0!</v>
      </c>
      <c r="L26" s="9" t="e">
        <f aca="false">(100-K26)*(G26/100)</f>
        <v>#DIV/0!</v>
      </c>
      <c r="M26" s="9" t="e">
        <f aca="false">L26*I26</f>
        <v>#DIV/0!</v>
      </c>
      <c r="N26" s="9" t="n">
        <f aca="false">G26*C26*(1-F26)</f>
        <v>0</v>
      </c>
      <c r="O26" s="11" t="e">
        <f aca="false">L26+N26</f>
        <v>#DIV/0!</v>
      </c>
      <c r="R26" s="1"/>
      <c r="S26" s="1"/>
    </row>
    <row r="27" s="3" customFormat="true" ht="19.85" hidden="false" customHeight="true" outlineLevel="0" collapsed="false">
      <c r="A27" s="4"/>
      <c r="B27" s="4"/>
      <c r="C27" s="5"/>
      <c r="D27" s="6"/>
      <c r="E27" s="4"/>
      <c r="F27" s="5"/>
      <c r="G27" s="7"/>
      <c r="H27" s="8"/>
      <c r="I27" s="13" t="n">
        <f aca="false">IF(F27=0.125,0.4808,1)</f>
        <v>1</v>
      </c>
      <c r="J27" s="9" t="n">
        <f aca="false">(G27/100)*E27+H27</f>
        <v>0</v>
      </c>
      <c r="K27" s="10" t="e">
        <f aca="false">J27/G27*100</f>
        <v>#DIV/0!</v>
      </c>
      <c r="L27" s="9" t="e">
        <f aca="false">(100-K27)*(G27/100)</f>
        <v>#DIV/0!</v>
      </c>
      <c r="M27" s="9" t="e">
        <f aca="false">L27*I27</f>
        <v>#DIV/0!</v>
      </c>
      <c r="N27" s="9" t="n">
        <f aca="false">G27*C27*(1-F27)</f>
        <v>0</v>
      </c>
      <c r="O27" s="11" t="e">
        <f aca="false">L27+N27</f>
        <v>#DIV/0!</v>
      </c>
      <c r="R27" s="1"/>
      <c r="S27" s="1"/>
    </row>
    <row r="28" s="3" customFormat="true" ht="19.85" hidden="false" customHeight="true" outlineLevel="0" collapsed="false">
      <c r="A28" s="4"/>
      <c r="B28" s="4"/>
      <c r="C28" s="5"/>
      <c r="D28" s="6"/>
      <c r="E28" s="4"/>
      <c r="F28" s="5"/>
      <c r="G28" s="7"/>
      <c r="H28" s="8"/>
      <c r="I28" s="13" t="n">
        <f aca="false">IF(F28=0.125,0.4808,1)</f>
        <v>1</v>
      </c>
      <c r="J28" s="9" t="n">
        <f aca="false">(G28/100)*E28+H28</f>
        <v>0</v>
      </c>
      <c r="K28" s="10" t="e">
        <f aca="false">J28/G28*100</f>
        <v>#DIV/0!</v>
      </c>
      <c r="L28" s="9" t="e">
        <f aca="false">(100-K28)*(G28/100)</f>
        <v>#DIV/0!</v>
      </c>
      <c r="M28" s="9" t="e">
        <f aca="false">L28*I28</f>
        <v>#DIV/0!</v>
      </c>
      <c r="N28" s="9" t="n">
        <f aca="false">G28*C28*(1-F28)</f>
        <v>0</v>
      </c>
      <c r="O28" s="11" t="e">
        <f aca="false">L28+N28</f>
        <v>#DIV/0!</v>
      </c>
      <c r="R28" s="1"/>
      <c r="S28" s="1"/>
    </row>
    <row r="29" s="3" customFormat="true" ht="19.85" hidden="false" customHeight="true" outlineLevel="0" collapsed="false">
      <c r="A29" s="4"/>
      <c r="B29" s="4"/>
      <c r="C29" s="5"/>
      <c r="D29" s="6"/>
      <c r="E29" s="4"/>
      <c r="F29" s="5"/>
      <c r="G29" s="7"/>
      <c r="H29" s="8"/>
      <c r="I29" s="13" t="n">
        <f aca="false">IF(F29=0.125,0.4808,1)</f>
        <v>1</v>
      </c>
      <c r="J29" s="9" t="n">
        <f aca="false">(G29/100)*E29+H29</f>
        <v>0</v>
      </c>
      <c r="K29" s="10" t="e">
        <f aca="false">J29/G29*100</f>
        <v>#DIV/0!</v>
      </c>
      <c r="L29" s="9" t="e">
        <f aca="false">(100-K29)*(G29/100)</f>
        <v>#DIV/0!</v>
      </c>
      <c r="M29" s="9" t="e">
        <f aca="false">L29*I29</f>
        <v>#DIV/0!</v>
      </c>
      <c r="N29" s="9" t="n">
        <f aca="false">G29*C29*(1-F29)</f>
        <v>0</v>
      </c>
      <c r="O29" s="11" t="e">
        <f aca="false">L29+N29</f>
        <v>#DIV/0!</v>
      </c>
      <c r="R29" s="1"/>
      <c r="S29" s="1"/>
    </row>
    <row r="30" s="3" customFormat="true" ht="19.85" hidden="false" customHeight="true" outlineLevel="0" collapsed="false">
      <c r="A30" s="4"/>
      <c r="B30" s="4"/>
      <c r="C30" s="5"/>
      <c r="D30" s="6"/>
      <c r="E30" s="4"/>
      <c r="F30" s="5"/>
      <c r="G30" s="7"/>
      <c r="H30" s="8"/>
      <c r="I30" s="13" t="n">
        <f aca="false">IF(F30=0.125,0.4808,1)</f>
        <v>1</v>
      </c>
      <c r="J30" s="9" t="n">
        <f aca="false">(G30/100)*E30+H30</f>
        <v>0</v>
      </c>
      <c r="K30" s="10" t="e">
        <f aca="false">J30/G30*100</f>
        <v>#DIV/0!</v>
      </c>
      <c r="L30" s="9" t="e">
        <f aca="false">(100-K30)*(G30/100)</f>
        <v>#DIV/0!</v>
      </c>
      <c r="M30" s="9" t="e">
        <f aca="false">L30*I30</f>
        <v>#DIV/0!</v>
      </c>
      <c r="N30" s="9" t="n">
        <f aca="false">G30*C30*(1-F30)</f>
        <v>0</v>
      </c>
      <c r="O30" s="11" t="e">
        <f aca="false">L30+N30</f>
        <v>#DIV/0!</v>
      </c>
      <c r="R30" s="1"/>
      <c r="S30" s="1"/>
    </row>
    <row r="31" s="3" customFormat="true" ht="19.85" hidden="false" customHeight="true" outlineLevel="0" collapsed="false">
      <c r="A31" s="4"/>
      <c r="B31" s="4"/>
      <c r="C31" s="5"/>
      <c r="D31" s="6"/>
      <c r="E31" s="4"/>
      <c r="F31" s="5"/>
      <c r="G31" s="7"/>
      <c r="H31" s="8"/>
      <c r="I31" s="13" t="n">
        <f aca="false">IF(F31=0.125,0.4808,1)</f>
        <v>1</v>
      </c>
      <c r="J31" s="9" t="n">
        <f aca="false">(G31/100)*E31+H31</f>
        <v>0</v>
      </c>
      <c r="K31" s="10" t="e">
        <f aca="false">J31/G31*100</f>
        <v>#DIV/0!</v>
      </c>
      <c r="L31" s="9" t="e">
        <f aca="false">(100-K31)*(G31/100)</f>
        <v>#DIV/0!</v>
      </c>
      <c r="M31" s="9" t="e">
        <f aca="false">L31*I31</f>
        <v>#DIV/0!</v>
      </c>
      <c r="N31" s="9" t="n">
        <f aca="false">G31*C31*(1-F31)</f>
        <v>0</v>
      </c>
      <c r="O31" s="11" t="e">
        <f aca="false">L31+N31</f>
        <v>#DIV/0!</v>
      </c>
      <c r="R31" s="1"/>
      <c r="S31" s="1"/>
    </row>
    <row r="32" s="3" customFormat="true" ht="19.85" hidden="false" customHeight="true" outlineLevel="0" collapsed="false">
      <c r="A32" s="4"/>
      <c r="B32" s="4"/>
      <c r="C32" s="5"/>
      <c r="D32" s="6"/>
      <c r="E32" s="4"/>
      <c r="F32" s="5"/>
      <c r="G32" s="7"/>
      <c r="H32" s="8"/>
      <c r="I32" s="13" t="n">
        <f aca="false">IF(F32=0.125,0.4808,1)</f>
        <v>1</v>
      </c>
      <c r="J32" s="9" t="n">
        <f aca="false">(G32/100)*E32+H32</f>
        <v>0</v>
      </c>
      <c r="K32" s="10" t="e">
        <f aca="false">J32/G32*100</f>
        <v>#DIV/0!</v>
      </c>
      <c r="L32" s="9" t="e">
        <f aca="false">(100-K32)*(G32/100)</f>
        <v>#DIV/0!</v>
      </c>
      <c r="M32" s="9" t="e">
        <f aca="false">L32*I32</f>
        <v>#DIV/0!</v>
      </c>
      <c r="N32" s="9" t="n">
        <f aca="false">G32*C32*(1-F32)</f>
        <v>0</v>
      </c>
      <c r="O32" s="11" t="e">
        <f aca="false">L32+N32</f>
        <v>#DIV/0!</v>
      </c>
      <c r="R32" s="1"/>
      <c r="S32" s="1"/>
    </row>
    <row r="33" s="3" customFormat="true" ht="19.85" hidden="false" customHeight="true" outlineLevel="0" collapsed="false">
      <c r="A33" s="4"/>
      <c r="B33" s="4"/>
      <c r="C33" s="5"/>
      <c r="D33" s="6"/>
      <c r="E33" s="4"/>
      <c r="F33" s="5"/>
      <c r="G33" s="7"/>
      <c r="H33" s="8"/>
      <c r="I33" s="13" t="n">
        <f aca="false">IF(F33=0.125,0.4808,1)</f>
        <v>1</v>
      </c>
      <c r="J33" s="9" t="n">
        <f aca="false">(G33/100)*E33+H33</f>
        <v>0</v>
      </c>
      <c r="K33" s="10" t="e">
        <f aca="false">J33/G33*100</f>
        <v>#DIV/0!</v>
      </c>
      <c r="L33" s="9" t="e">
        <f aca="false">(100-K33)*(G33/100)</f>
        <v>#DIV/0!</v>
      </c>
      <c r="M33" s="9" t="e">
        <f aca="false">L33*I33</f>
        <v>#DIV/0!</v>
      </c>
      <c r="N33" s="9" t="n">
        <f aca="false">G33*C33*(1-F33)</f>
        <v>0</v>
      </c>
      <c r="O33" s="11" t="e">
        <f aca="false">L33+N33</f>
        <v>#DIV/0!</v>
      </c>
      <c r="R33" s="1"/>
      <c r="S33" s="1"/>
    </row>
    <row r="34" s="3" customFormat="true" ht="19.85" hidden="false" customHeight="true" outlineLevel="0" collapsed="false">
      <c r="A34" s="4"/>
      <c r="B34" s="4"/>
      <c r="C34" s="5"/>
      <c r="D34" s="6"/>
      <c r="E34" s="4"/>
      <c r="F34" s="5"/>
      <c r="G34" s="7"/>
      <c r="H34" s="8"/>
      <c r="I34" s="13" t="n">
        <f aca="false">IF(F34=0.125,0.4808,1)</f>
        <v>1</v>
      </c>
      <c r="J34" s="9" t="n">
        <f aca="false">(G34/100)*E34+H34</f>
        <v>0</v>
      </c>
      <c r="K34" s="10" t="e">
        <f aca="false">J34/G34*100</f>
        <v>#DIV/0!</v>
      </c>
      <c r="L34" s="9" t="e">
        <f aca="false">(100-K34)*(G34/100)</f>
        <v>#DIV/0!</v>
      </c>
      <c r="M34" s="9" t="e">
        <f aca="false">L34*I34</f>
        <v>#DIV/0!</v>
      </c>
      <c r="N34" s="9" t="n">
        <f aca="false">G34*C34*(1-F34)</f>
        <v>0</v>
      </c>
      <c r="O34" s="11" t="e">
        <f aca="false">L34+N34</f>
        <v>#DIV/0!</v>
      </c>
      <c r="R34" s="1"/>
      <c r="S34" s="1"/>
    </row>
    <row r="35" s="3" customFormat="true" ht="19.85" hidden="false" customHeight="true" outlineLevel="0" collapsed="false">
      <c r="A35" s="4"/>
      <c r="B35" s="4"/>
      <c r="C35" s="5"/>
      <c r="D35" s="6"/>
      <c r="E35" s="4"/>
      <c r="F35" s="5"/>
      <c r="G35" s="7"/>
      <c r="H35" s="8"/>
      <c r="I35" s="13" t="n">
        <f aca="false">IF(F35=0.125,0.4808,1)</f>
        <v>1</v>
      </c>
      <c r="J35" s="9" t="n">
        <f aca="false">(G35/100)*E35+H35</f>
        <v>0</v>
      </c>
      <c r="K35" s="10" t="e">
        <f aca="false">J35/G35*100</f>
        <v>#DIV/0!</v>
      </c>
      <c r="L35" s="9" t="e">
        <f aca="false">(100-K35)*(G35/100)</f>
        <v>#DIV/0!</v>
      </c>
      <c r="M35" s="9" t="e">
        <f aca="false">L35*I35</f>
        <v>#DIV/0!</v>
      </c>
      <c r="N35" s="9" t="n">
        <f aca="false">G35*C35*(1-F35)</f>
        <v>0</v>
      </c>
      <c r="O35" s="11" t="e">
        <f aca="false">L35+N35</f>
        <v>#DIV/0!</v>
      </c>
      <c r="R35" s="1"/>
      <c r="S35" s="1"/>
    </row>
    <row r="36" s="3" customFormat="true" ht="19.85" hidden="false" customHeight="true" outlineLevel="0" collapsed="false">
      <c r="A36" s="4"/>
      <c r="B36" s="4"/>
      <c r="C36" s="5"/>
      <c r="D36" s="6"/>
      <c r="E36" s="4"/>
      <c r="F36" s="5"/>
      <c r="G36" s="7"/>
      <c r="H36" s="8"/>
      <c r="I36" s="13" t="n">
        <f aca="false">IF(F36=0.125,0.4808,1)</f>
        <v>1</v>
      </c>
      <c r="J36" s="9" t="n">
        <f aca="false">(G36/100)*E36+H36</f>
        <v>0</v>
      </c>
      <c r="K36" s="10" t="e">
        <f aca="false">J36/G36*100</f>
        <v>#DIV/0!</v>
      </c>
      <c r="L36" s="9" t="e">
        <f aca="false">(100-K36)*(G36/100)</f>
        <v>#DIV/0!</v>
      </c>
      <c r="M36" s="9" t="e">
        <f aca="false">L36*I36</f>
        <v>#DIV/0!</v>
      </c>
      <c r="N36" s="9" t="n">
        <f aca="false">G36*C36*(1-F36)</f>
        <v>0</v>
      </c>
      <c r="O36" s="11" t="e">
        <f aca="false">L36+N36</f>
        <v>#DIV/0!</v>
      </c>
      <c r="R36" s="1"/>
      <c r="S36" s="1"/>
    </row>
    <row r="37" s="3" customFormat="true" ht="19.85" hidden="false" customHeight="true" outlineLevel="0" collapsed="false">
      <c r="A37" s="4"/>
      <c r="B37" s="4"/>
      <c r="C37" s="5"/>
      <c r="D37" s="6"/>
      <c r="E37" s="4"/>
      <c r="F37" s="5"/>
      <c r="G37" s="7"/>
      <c r="H37" s="8"/>
      <c r="I37" s="13" t="n">
        <f aca="false">IF(F37=0.125,0.4808,1)</f>
        <v>1</v>
      </c>
      <c r="J37" s="9" t="n">
        <f aca="false">(G37/100)*E37+H37</f>
        <v>0</v>
      </c>
      <c r="K37" s="10" t="e">
        <f aca="false">J37/G37*100</f>
        <v>#DIV/0!</v>
      </c>
      <c r="L37" s="9" t="e">
        <f aca="false">(100-K37)*(G37/100)</f>
        <v>#DIV/0!</v>
      </c>
      <c r="M37" s="9" t="e">
        <f aca="false">L37*I37</f>
        <v>#DIV/0!</v>
      </c>
      <c r="N37" s="9" t="n">
        <f aca="false">G37*C37*(1-F37)</f>
        <v>0</v>
      </c>
      <c r="O37" s="11" t="e">
        <f aca="false">L37+N37</f>
        <v>#DIV/0!</v>
      </c>
      <c r="R37" s="1"/>
      <c r="S37" s="1"/>
    </row>
    <row r="38" s="3" customFormat="true" ht="19.85" hidden="false" customHeight="true" outlineLevel="0" collapsed="false">
      <c r="A38" s="4"/>
      <c r="B38" s="4"/>
      <c r="C38" s="5"/>
      <c r="D38" s="6"/>
      <c r="E38" s="4"/>
      <c r="F38" s="5"/>
      <c r="G38" s="7"/>
      <c r="H38" s="8"/>
      <c r="I38" s="13" t="n">
        <f aca="false">IF(F38=0.125,0.4808,1)</f>
        <v>1</v>
      </c>
      <c r="J38" s="9" t="n">
        <f aca="false">(G38/100)*E38+H38</f>
        <v>0</v>
      </c>
      <c r="K38" s="10" t="e">
        <f aca="false">J38/G38*100</f>
        <v>#DIV/0!</v>
      </c>
      <c r="L38" s="9" t="e">
        <f aca="false">(100-K38)*(G38/100)</f>
        <v>#DIV/0!</v>
      </c>
      <c r="M38" s="9" t="e">
        <f aca="false">L38*I38</f>
        <v>#DIV/0!</v>
      </c>
      <c r="N38" s="9" t="n">
        <f aca="false">G38*C38*(1-F38)</f>
        <v>0</v>
      </c>
      <c r="O38" s="11" t="e">
        <f aca="false">L38+N38</f>
        <v>#DIV/0!</v>
      </c>
      <c r="R38" s="1"/>
      <c r="S38" s="1"/>
    </row>
    <row r="39" s="3" customFormat="true" ht="19.85" hidden="false" customHeight="true" outlineLevel="0" collapsed="false">
      <c r="A39" s="4"/>
      <c r="B39" s="4"/>
      <c r="C39" s="5"/>
      <c r="D39" s="6"/>
      <c r="E39" s="4"/>
      <c r="F39" s="5"/>
      <c r="G39" s="7"/>
      <c r="H39" s="8"/>
      <c r="I39" s="13" t="n">
        <f aca="false">IF(F39=0.125,0.4808,1)</f>
        <v>1</v>
      </c>
      <c r="J39" s="9" t="n">
        <f aca="false">(G39/100)*E39+H39</f>
        <v>0</v>
      </c>
      <c r="K39" s="10" t="e">
        <f aca="false">J39/G39*100</f>
        <v>#DIV/0!</v>
      </c>
      <c r="L39" s="9" t="e">
        <f aca="false">(100-K39)*(G39/100)</f>
        <v>#DIV/0!</v>
      </c>
      <c r="M39" s="9" t="e">
        <f aca="false">L39*I39</f>
        <v>#DIV/0!</v>
      </c>
      <c r="N39" s="9" t="n">
        <f aca="false">G39*C39*(1-F39)</f>
        <v>0</v>
      </c>
      <c r="O39" s="11" t="e">
        <f aca="false">L39+N39</f>
        <v>#DIV/0!</v>
      </c>
      <c r="R39" s="1"/>
      <c r="S39" s="1"/>
    </row>
    <row r="40" s="3" customFormat="true" ht="19.85" hidden="false" customHeight="true" outlineLevel="0" collapsed="false">
      <c r="A40" s="4"/>
      <c r="B40" s="4"/>
      <c r="C40" s="5"/>
      <c r="D40" s="6"/>
      <c r="E40" s="4"/>
      <c r="F40" s="5"/>
      <c r="G40" s="7"/>
      <c r="H40" s="8"/>
      <c r="I40" s="13" t="n">
        <f aca="false">IF(F40=0.125,0.4808,1)</f>
        <v>1</v>
      </c>
      <c r="J40" s="9" t="n">
        <f aca="false">(G40/100)*E40+H40</f>
        <v>0</v>
      </c>
      <c r="K40" s="10" t="e">
        <f aca="false">J40/G40*100</f>
        <v>#DIV/0!</v>
      </c>
      <c r="L40" s="9" t="e">
        <f aca="false">(100-K40)*(G40/100)</f>
        <v>#DIV/0!</v>
      </c>
      <c r="M40" s="9" t="e">
        <f aca="false">L40*I40</f>
        <v>#DIV/0!</v>
      </c>
      <c r="N40" s="9" t="n">
        <f aca="false">G40*C40*(1-F40)</f>
        <v>0</v>
      </c>
      <c r="O40" s="11" t="e">
        <f aca="false">L40+N40</f>
        <v>#DIV/0!</v>
      </c>
      <c r="R40" s="1"/>
      <c r="S40" s="1"/>
    </row>
    <row r="41" s="3" customFormat="true" ht="19.85" hidden="false" customHeight="true" outlineLevel="0" collapsed="false">
      <c r="A41" s="4"/>
      <c r="B41" s="4"/>
      <c r="C41" s="5"/>
      <c r="D41" s="6"/>
      <c r="E41" s="4"/>
      <c r="F41" s="5"/>
      <c r="G41" s="7"/>
      <c r="H41" s="8"/>
      <c r="I41" s="13" t="n">
        <f aca="false">IF(F41=0.125,0.4808,1)</f>
        <v>1</v>
      </c>
      <c r="J41" s="9" t="n">
        <f aca="false">(G41/100)*E41+H41</f>
        <v>0</v>
      </c>
      <c r="K41" s="10" t="e">
        <f aca="false">J41/G41*100</f>
        <v>#DIV/0!</v>
      </c>
      <c r="L41" s="9" t="e">
        <f aca="false">(100-K41)*(G41/100)</f>
        <v>#DIV/0!</v>
      </c>
      <c r="M41" s="9" t="e">
        <f aca="false">L41*I41</f>
        <v>#DIV/0!</v>
      </c>
      <c r="N41" s="9" t="n">
        <f aca="false">G41*C41*(1-F41)</f>
        <v>0</v>
      </c>
      <c r="O41" s="11" t="e">
        <f aca="false">L41+N41</f>
        <v>#DIV/0!</v>
      </c>
      <c r="R41" s="1"/>
      <c r="S41" s="1"/>
    </row>
    <row r="42" s="3" customFormat="true" ht="19.85" hidden="false" customHeight="true" outlineLevel="0" collapsed="false">
      <c r="A42" s="4"/>
      <c r="B42" s="4"/>
      <c r="C42" s="5"/>
      <c r="D42" s="6"/>
      <c r="E42" s="4"/>
      <c r="F42" s="5"/>
      <c r="G42" s="7"/>
      <c r="H42" s="8"/>
      <c r="I42" s="13" t="n">
        <f aca="false">IF(F42=0.125,0.4808,1)</f>
        <v>1</v>
      </c>
      <c r="J42" s="9" t="n">
        <f aca="false">(G42/100)*E42+H42</f>
        <v>0</v>
      </c>
      <c r="K42" s="10" t="e">
        <f aca="false">J42/G42*100</f>
        <v>#DIV/0!</v>
      </c>
      <c r="L42" s="9" t="e">
        <f aca="false">(100-K42)*(G42/100)</f>
        <v>#DIV/0!</v>
      </c>
      <c r="M42" s="9" t="e">
        <f aca="false">L42*I42</f>
        <v>#DIV/0!</v>
      </c>
      <c r="N42" s="9" t="n">
        <f aca="false">G42*C42*(1-F42)</f>
        <v>0</v>
      </c>
      <c r="O42" s="11" t="e">
        <f aca="false">L42+N42</f>
        <v>#DIV/0!</v>
      </c>
      <c r="R42" s="1"/>
      <c r="S42" s="1"/>
    </row>
    <row r="43" s="3" customFormat="true" ht="19.85" hidden="false" customHeight="true" outlineLevel="0" collapsed="false">
      <c r="A43" s="4"/>
      <c r="B43" s="4"/>
      <c r="C43" s="5"/>
      <c r="D43" s="6"/>
      <c r="E43" s="4"/>
      <c r="F43" s="5"/>
      <c r="G43" s="7"/>
      <c r="H43" s="8"/>
      <c r="I43" s="13" t="n">
        <f aca="false">IF(F43=0.125,0.4808,1)</f>
        <v>1</v>
      </c>
      <c r="J43" s="9" t="n">
        <f aca="false">(G43/100)*E43+H43</f>
        <v>0</v>
      </c>
      <c r="K43" s="10" t="e">
        <f aca="false">J43/G43*100</f>
        <v>#DIV/0!</v>
      </c>
      <c r="L43" s="9" t="e">
        <f aca="false">(100-K43)*(G43/100)</f>
        <v>#DIV/0!</v>
      </c>
      <c r="M43" s="9" t="e">
        <f aca="false">L43*I43</f>
        <v>#DIV/0!</v>
      </c>
      <c r="N43" s="9" t="n">
        <f aca="false">G43*C43*(1-F43)</f>
        <v>0</v>
      </c>
      <c r="O43" s="11" t="e">
        <f aca="false">L43+N43</f>
        <v>#DIV/0!</v>
      </c>
      <c r="R43" s="1"/>
      <c r="S43" s="1"/>
    </row>
  </sheetData>
  <conditionalFormatting sqref="O2:O43">
    <cfRule type="cellIs" priority="2" operator="greaterThan" aboveAverage="0" equalAverage="0" bottom="0" percent="0" rank="0" text="" dxfId="0">
      <formula>0</formula>
    </cfRule>
  </conditionalFormatting>
  <conditionalFormatting sqref="O2:O4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2026-05-28T11:17:44Z</dcterms:created>
  <dc:creator/>
  <dc:description/>
  <dc:language>it-IT</dc:language>
  <cp:lastModifiedBy/>
  <dcterms:modified xsi:type="dcterms:W3CDTF">2026-05-28T12:53:09Z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